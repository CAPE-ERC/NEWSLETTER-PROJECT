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ae41f6d65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f7a504d581c42ca"/>
    <x:sheet xmlns:r="http://schemas.openxmlformats.org/officeDocument/2006/relationships" name="Quarterly Forecast" sheetId="2" r:id="Rbb602b040897416e"/>
    <x:sheet xmlns:r="http://schemas.openxmlformats.org/officeDocument/2006/relationships" name="Model Comparison" sheetId="3" r:id="Rfaf6410d82174eff"/>
    <x:sheet xmlns:r="http://schemas.openxmlformats.org/officeDocument/2006/relationships" name="Backtest" sheetId="4" r:id="Rdafe5835b6484c49"/>
    <x:sheet xmlns:r="http://schemas.openxmlformats.org/officeDocument/2006/relationships" name="Model Engine" sheetId="5" r:id="R99f1cf14792f40a8"/>
    <x:sheet xmlns:r="http://schemas.openxmlformats.org/officeDocument/2006/relationships" name="Monthly Inputs" sheetId="6" r:id="R80fb3e2b09404bbf"/>
    <x:sheet xmlns:r="http://schemas.openxmlformats.org/officeDocument/2006/relationships" name="Quarterly Features" sheetId="7" r:id="R427dfebe43724124"/>
    <x:sheet xmlns:r="http://schemas.openxmlformats.org/officeDocument/2006/relationships" name="Methodology" sheetId="8" r:id="R903c8ccda72846eb"/>
    <x:sheet xmlns:r="http://schemas.openxmlformats.org/officeDocument/2006/relationships" name="Sources" sheetId="9" r:id="Rac1b7c88b2c5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-yyyy"/>
    <x:numFmt numFmtId="201" formatCode="0.00"/>
    <x:numFmt numFmtId="202" formatCode="#,##0"/>
    <x:numFmt numFmtId="203" formatCode="0.000"/>
    <x:numFmt numFmtId="204" formatCode="0"/>
    <x:numFmt numFmtId="205" formatCode="General"/>
  </x:numFmts>
  <x:fonts count="9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1"/>
      <x:color rgb="FF1F2937"/>
      <x:name val="Aptos"/>
    </x:font>
    <x:font>
      <x:sz val="9"/>
      <x:color rgb="FF80808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medium">
        <x:color rgb="FF0F6B67"/>
      </x:left>
      <x:right style="medium">
        <x:color rgb="FF0F6B67"/>
      </x:right>
      <x:top style="medium">
        <x:color rgb="FF0F6B67"/>
      </x:top>
      <x:bottom style="medium">
        <x:color rgb="FF0F6B67"/>
      </x:bottom>
    </x:border>
    <x:border>
      <x:left style="thin">
        <x:color rgb="FFD9A441"/>
      </x:left>
      <x:right style="thin">
        <x:color rgb="FFD9A441"/>
      </x:right>
      <x:top style="thin">
        <x:color rgb="FFD9A441"/>
      </x:top>
      <x:bottom style="thin">
        <x:color rgb="FFD9A441"/>
      </x:bottom>
    </x:border>
    <x:border>
      <x:left style="medium">
        <x:color rgb="FFD9A441"/>
      </x:left>
      <x:right style="medium">
        <x:color rgb="FFD9A441"/>
      </x:right>
      <x:top style="medium">
        <x:color rgb="FFD9A441"/>
      </x:top>
      <x:bottom style="medium">
        <x:color rgb="FFD9A441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D9A441"/>
      </x:left>
      <x:top style="thin">
        <x:color rgb="FFD9A441"/>
      </x:top>
    </x:border>
    <x:border>
      <x:top style="thin">
        <x:color rgb="FFD9A441"/>
      </x:top>
    </x:border>
    <x:border>
      <x:right style="thin">
        <x:color rgb="FFD9A441"/>
      </x:right>
      <x:top style="thin">
        <x:color rgb="FFD9A441"/>
      </x:top>
    </x:border>
    <x:border>
      <x:left style="thin">
        <x:color rgb="FFD9A441"/>
      </x:left>
      <x:bottom style="thin">
        <x:color rgb="FFD9A441"/>
      </x:bottom>
    </x:border>
    <x:border>
      <x:bottom style="thin">
        <x:color rgb="FFD9A441"/>
      </x:bottom>
    </x:border>
    <x:border>
      <x:right style="thin">
        <x:color rgb="FFD9A441"/>
      </x:right>
      <x:bottom style="thin">
        <x:color rgb="FFD9A44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203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203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203" fontId="5" fillId="5" borderId="2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203" fontId="1" fillId="6" borderId="1" xfId="0" applyNumberFormat="1" applyFont="1" applyFill="1" applyBorder="1" applyAlignment="1">
      <x:alignment vertical="center"/>
    </x:xf>
    <x:xf numFmtId="204" fontId="1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203" fontId="6" fillId="6" borderId="1" xfId="0" applyNumberFormat="1" applyFont="1" applyFill="1" applyBorder="1" applyAlignment="1">
      <x:alignment vertical="center"/>
    </x:xf>
    <x:xf numFmtId="204" fontId="6" fillId="6" borderId="1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203" fontId="6" fillId="6" borderId="3" xfId="0" applyNumberFormat="1" applyFont="1" applyFill="1" applyBorder="1" applyAlignment="1">
      <x:alignment vertical="center"/>
    </x:xf>
    <x:xf numFmtId="204" fontId="6" fillId="6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5" fontId="1" fillId="0" borderId="1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5" fontId="1" fillId="6" borderId="1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5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201" fontId="6" fillId="6" borderId="4" xfId="0" applyNumberFormat="1" applyFont="1" applyFill="1" applyBorder="1" applyAlignment="1">
      <x:alignment vertical="center"/>
    </x:xf>
    <x:xf numFmtId="205" fontId="6" fillId="6" borderId="4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201" fontId="6" fillId="5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201" fontId="5" fillId="5" borderId="2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f68f6ef3d4c97" /><Relationship Type="http://schemas.openxmlformats.org/officeDocument/2006/relationships/theme" Target="/xl/theme/theme1.xml" Id="Rc27990ca48ed493e" /><Relationship Type="http://schemas.openxmlformats.org/officeDocument/2006/relationships/sharedStrings" Target="/xl/sharedStrings.xml" Id="R115310e556214852" /><Relationship Type="http://schemas.openxmlformats.org/officeDocument/2006/relationships/worksheet" Target="/xl/worksheets/sheet1.xml" Id="R7f7a504d581c42ca" /><Relationship Type="http://schemas.openxmlformats.org/officeDocument/2006/relationships/worksheet" Target="/xl/worksheets/sheet2.xml" Id="Rbb602b040897416e" /><Relationship Type="http://schemas.openxmlformats.org/officeDocument/2006/relationships/worksheet" Target="/xl/worksheets/sheet3.xml" Id="Rfaf6410d82174eff" /><Relationship Type="http://schemas.openxmlformats.org/officeDocument/2006/relationships/worksheet" Target="/xl/worksheets/sheet4.xml" Id="Rdafe5835b6484c49" /><Relationship Type="http://schemas.openxmlformats.org/officeDocument/2006/relationships/worksheet" Target="/xl/worksheets/sheet5.xml" Id="R99f1cf14792f40a8" /><Relationship Type="http://schemas.openxmlformats.org/officeDocument/2006/relationships/worksheet" Target="/xl/worksheets/sheet6.xml" Id="R80fb3e2b09404bbf" /><Relationship Type="http://schemas.openxmlformats.org/officeDocument/2006/relationships/worksheet" Target="/xl/worksheets/sheet7.xml" Id="R427dfebe43724124" /><Relationship Type="http://schemas.openxmlformats.org/officeDocument/2006/relationships/worksheet" Target="/xl/worksheets/sheet8.xml" Id="R903c8ccda72846eb" /><Relationship Type="http://schemas.openxmlformats.org/officeDocument/2006/relationships/worksheet" Target="/xl/worksheets/sheet9.xml" Id="Rac1b7c88b2c54e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b4181900144d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c31f68369aa417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babd74f2d3e40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ptos"/>
                <a:ea typeface="Aptos"/>
                <a:cs typeface="Aptos"/>
              </a:rPr>
              <a:t>Nigeria real GDP growth: actuals and indicative range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</c:v>
          </c:tx>
          <c:marker>
            <c:symbol val="none"/>
          </c:marker>
          <c:cat>
            <c:strRef>
              <c:f>'Executive Summary'!$J$3:$J$21</c:f>
              <c:strCache>
                <c:ptCount val="0"/>
              </c:strCache>
            </c:strRef>
          </c:cat>
          <c:val>
            <c:numRef>
              <c:f>'Executive Summary'!$K$3:$K$21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Range lower</c:v>
          </c:tx>
          <c:marker>
            <c:symbol val="none"/>
          </c:marker>
          <c:cat>
            <c:strRef>
              <c:f>'Executive Summary'!$J$3:$J$21</c:f>
              <c:strCache>
                <c:ptCount val="0"/>
              </c:strCache>
            </c:strRef>
          </c:cat>
          <c:val>
            <c:numRef>
              <c:f>'Executive Summary'!$L$3:$L$21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Range upper</c:v>
          </c:tx>
          <c:marker>
            <c:symbol val="none"/>
          </c:marker>
          <c:cat>
            <c:strRef>
              <c:f>'Executive Summary'!$J$3:$J$21</c:f>
              <c:strCache>
                <c:ptCount val="0"/>
              </c:strCache>
            </c:strRef>
          </c:cat>
          <c:val>
            <c:numRef>
              <c:f>'Executive Summary'!$M$3:$M$21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ptos"/>
                <a:ea typeface="Aptos"/>
                <a:cs typeface="Aptos"/>
              </a:rPr>
              <a:t>Official real GDP growth history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YoY growth (%)</c:v>
          </c:tx>
          <c:marker>
            <c:symbol val="none"/>
          </c:marker>
          <c:cat>
            <c:strRef>
              <c:f>'Quarterly Forecast'!$A$4:$A$70</c:f>
              <c:strCache>
                <c:ptCount val="0"/>
              </c:strCache>
            </c:strRef>
          </c:cat>
          <c:val>
            <c:numRef>
              <c:f>'Quarterly Forecast'!$B$4:$B$70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ptos"/>
                <a:ea typeface="Aptos"/>
                <a:cs typeface="Aptos"/>
              </a:rPr>
              <a:t>Actual vs. expanding-window prediction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(%)</c:v>
          </c:tx>
          <c:marker>
            <c:symbol val="none"/>
          </c:marker>
          <c:cat>
            <c:strRef>
              <c:f>'Backtest'!$A$4:$A$37</c:f>
              <c:strCache>
                <c:ptCount val="0"/>
              </c:strCache>
            </c:strRef>
          </c:cat>
          <c:val>
            <c:numRef>
              <c:f>'Backtest'!$B$4:$B$37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(%)</c:v>
          </c:tx>
          <c:marker>
            <c:symbol val="none"/>
          </c:marker>
          <c:cat>
            <c:strRef>
              <c:f>'Backtest'!$A$4:$A$37</c:f>
              <c:strCache>
                <c:ptCount val="0"/>
              </c:strCache>
            </c:strRef>
          </c:cat>
          <c:val>
            <c:numRef>
              <c:f>'Backtest'!$C$4:$C$37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b4181900144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31f68369aa417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abd74f2d3e40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e66ebe40514e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85b824316c640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9003688f0f94ff1" /></Relationships>
</file>

<file path=xl/worksheets/sheet1.xml><?xml version="1.0" encoding="utf-8"?>
<x:worksheet xmlns:x="http://schemas.openxmlformats.org/spreadsheetml/2006/main">
  <x:sheetPr>
    <x:tabColor rgb="FFD9A441"/>
  </x:sheetPr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7" hidden="0" customWidth="1"/>
    <x:col min="4" max="4" width="17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4" customHeight="1">
      <x:c r="A1" s="12" t="str">
        <x:v>Nigeria 2026Q3 GDP Nowcast</x:v>
      </x:c>
      <x:c r="B1" s="12"/>
      <x:c r="C1" s="12"/>
      <x:c r="D1" s="12"/>
      <x:c r="E1" s="12"/>
      <x:c r="F1" s="12"/>
      <x:c r="G1" s="12"/>
      <x:c r="H1" s="12"/>
    </x:row>
    <x:row r="2" ht="28" customHeight="1">
      <x:c r="A2" s="16" t="str">
        <x:v>CAPE Economic Research &amp; Consulting | Nigeria-only quarterly nowcast | Year-on-year real GDP growth</x:v>
      </x:c>
      <x:c r="B2" s="16"/>
      <x:c r="C2" s="16"/>
      <x:c r="D2" s="16"/>
      <x:c r="E2" s="16"/>
      <x:c r="F2" s="16"/>
      <x:c r="G2" s="16"/>
      <x:c r="H2" s="16"/>
      <x:c r="J2" s="106" t="str">
        <x:v>Quarter</x:v>
      </x:c>
      <x:c r="K2" s="106" t="str">
        <x:v>Actual</x:v>
      </x:c>
      <x:c r="L2" s="106" t="str">
        <x:v>Range lower</x:v>
      </x:c>
      <x:c r="M2" s="106" t="str">
        <x:v>Range upper</x:v>
      </x:c>
    </x:row>
    <x:row r="3">
      <x:c r="J3" s="106" t="str">
        <x:v>2022Q1</x:v>
      </x:c>
      <x:c r="K3" s="106" t="n">
        <x:v>3.11</x:v>
      </x:c>
      <x:c r="L3" s="106"/>
      <x:c r="M3" s="106"/>
    </x:row>
    <x:row r="4" ht="38" customHeight="1">
      <x:c r="A4" s="56" t="str">
        <x:v>Published range</x:v>
      </x:c>
      <x:c r="B4" s="57" t="n">
        <x:f>'Quarterly Forecast'!G70</x:f>
        <x:v>4.34</x:v>
      </x:c>
      <x:c r="C4" s="57" t="str">
        <x:v>to</x:v>
      </x:c>
      <x:c r="D4" s="57" t="n">
        <x:f>'Quarterly Forecast'!H70</x:f>
        <x:v>4.5</x:v>
      </x:c>
      <x:c r="E4" s="56" t="str">
        <x:v>Point forecast</x:v>
      </x:c>
      <x:c r="F4" s="57" t="str">
        <x:v>Pending</x:v>
      </x:c>
      <x:c r="G4" s="56" t="str">
        <x:v>Release mode</x:v>
      </x:c>
      <x:c r="H4" s="56" t="str">
        <x:v>Indicative range</x:v>
      </x:c>
      <x:c r="J4" s="106" t="str">
        <x:v>2022Q2</x:v>
      </x:c>
      <x:c r="K4" s="106" t="n">
        <x:v>3.54</x:v>
      </x:c>
      <x:c r="L4" s="106"/>
      <x:c r="M4" s="106"/>
    </x:row>
    <x:row r="5">
      <x:c r="J5" s="106" t="str">
        <x:v>2022Q3</x:v>
      </x:c>
      <x:c r="K5" s="106" t="n">
        <x:v>2.25</x:v>
      </x:c>
      <x:c r="L5" s="106"/>
      <x:c r="M5" s="106"/>
    </x:row>
    <x:row r="6" ht="28" customHeight="1">
      <x:c r="A6" s="6" t="str">
        <x:v>Latest official GDP</x:v>
      </x:c>
      <x:c r="B6" s="6" t="str">
        <x:v>Quarter</x:v>
      </x:c>
      <x:c r="C6" s="6" t="str">
        <x:v>Current PMI</x:v>
      </x:c>
      <x:c r="D6" s="6" t="str">
        <x:v>Complete months</x:v>
      </x:c>
      <x:c r="E6" s="6" t="str">
        <x:v>Selected model</x:v>
      </x:c>
      <x:c r="F6" s="6" t="str">
        <x:v>RMSE</x:v>
      </x:c>
      <x:c r="G6" s="6" t="str">
        <x:v>MAE</x:v>
      </x:c>
      <x:c r="H6" s="6" t="str">
        <x:v>PMI treatment</x:v>
      </x:c>
      <x:c r="J6" s="106" t="str">
        <x:v>2022Q4</x:v>
      </x:c>
      <x:c r="K6" s="106" t="n">
        <x:v>3.52</x:v>
      </x:c>
      <x:c r="L6" s="106"/>
      <x:c r="M6" s="106"/>
    </x:row>
    <x:row r="7" ht="30" customHeight="1">
      <x:c r="A7" s="8" t="n">
        <x:v>4.43</x:v>
      </x:c>
      <x:c r="B7" s="8" t="str">
        <x:v>2026Q2</x:v>
      </x:c>
      <x:c r="C7" s="8" t="n">
        <x:f>'Model Engine'!H5</x:f>
        <x:v>51.900000000000006</x:v>
      </x:c>
      <x:c r="D7" s="22" t="n">
        <x:v>1</x:v>
      </x:c>
      <x:c r="E7" s="58" t="str">
        <x:v>Ridge GDP-CPD-M2-inflation-PMI-risk bridge</x:v>
      </x:c>
      <x:c r="F7" s="8" t="n">
        <x:v>1.947550790536819</x:v>
      </x:c>
      <x:c r="G7" s="8" t="n">
        <x:v>1.216763558074943</x:v>
      </x:c>
      <x:c r="H7" s="39" t="str">
        <x:v>Inside equation</x:v>
      </x:c>
      <x:c r="J7" s="106" t="str">
        <x:v>2023Q1</x:v>
      </x:c>
      <x:c r="K7" s="106" t="n">
        <x:v>2.31</x:v>
      </x:c>
      <x:c r="L7" s="106"/>
      <x:c r="M7" s="106"/>
    </x:row>
    <x:row r="8">
      <x:c r="J8" s="106" t="str">
        <x:v>2023Q2</x:v>
      </x:c>
      <x:c r="K8" s="106" t="n">
        <x:v>2.5100000000000002</x:v>
      </x:c>
      <x:c r="L8" s="106"/>
      <x:c r="M8" s="106"/>
    </x:row>
    <x:row r="9">
      <x:c r="J9" s="106" t="str">
        <x:v>2023Q3</x:v>
      </x:c>
      <x:c r="K9" s="106" t="n">
        <x:v>2.54</x:v>
      </x:c>
      <x:c r="L9" s="106"/>
      <x:c r="M9" s="106"/>
    </x:row>
    <x:row r="10" ht="26" customHeight="1">
      <x:c r="A10" s="77" t="str">
        <x:v>Interpretation: CAPE publishes an indicative 4.34-4.50% range for 2026Q3 because only 1 of 3 months has all required inputs. The current 4.24% estimate remains a monitoring output and is not the published point forecast. The available PMI average of 51.9 remains above 50, signalling private-sector expansion.</x:v>
      </x:c>
      <x:c r="B10" s="78"/>
      <x:c r="C10" s="78"/>
      <x:c r="D10" s="78"/>
      <x:c r="E10" s="78"/>
      <x:c r="F10" s="78"/>
      <x:c r="G10" s="78"/>
      <x:c r="H10" s="79"/>
      <x:c r="J10" s="106" t="str">
        <x:v>2023Q4</x:v>
      </x:c>
      <x:c r="K10" s="106" t="n">
        <x:v>3.46</x:v>
      </x:c>
      <x:c r="L10" s="106"/>
      <x:c r="M10" s="106"/>
    </x:row>
    <x:row r="11" ht="26" customHeight="1">
      <x:c r="A11" s="80"/>
      <x:c r="B11" s="81"/>
      <x:c r="C11" s="81"/>
      <x:c r="D11" s="81"/>
      <x:c r="E11" s="81"/>
      <x:c r="F11" s="81"/>
      <x:c r="G11" s="81"/>
      <x:c r="H11" s="82"/>
      <x:c r="J11" s="106" t="str">
        <x:v>2024Q1</x:v>
      </x:c>
      <x:c r="K11" s="106" t="n">
        <x:v>2.98</x:v>
      </x:c>
      <x:c r="L11" s="106"/>
      <x:c r="M11" s="106"/>
    </x:row>
    <x:row r="12" ht="26" customHeight="1">
      <x:c r="A12" s="83"/>
      <x:c r="B12" s="84"/>
      <x:c r="C12" s="84"/>
      <x:c r="D12" s="84"/>
      <x:c r="E12" s="84"/>
      <x:c r="F12" s="84"/>
      <x:c r="G12" s="84"/>
      <x:c r="H12" s="85"/>
      <x:c r="J12" s="106" t="str">
        <x:v>2024Q2</x:v>
      </x:c>
      <x:c r="K12" s="106" t="n">
        <x:v>3.19</x:v>
      </x:c>
      <x:c r="L12" s="106"/>
      <x:c r="M12" s="106"/>
    </x:row>
    <x:row r="13">
      <x:c r="J13" s="106" t="str">
        <x:v>2024Q3</x:v>
      </x:c>
      <x:c r="K13" s="106" t="n">
        <x:v>3.8600000000000003</x:v>
      </x:c>
      <x:c r="L13" s="106"/>
      <x:c r="M13" s="106"/>
    </x:row>
    <x:row r="14">
      <x:c r="A14" s="100" t="str">
        <x:v>Refresh note: update the master workbook inputs and run the included refresh script. The workflow reads the master without modifying it, publishes the 4.34-4.50% range while target-quarter inputs are incomplete, and switches to the model point forecast after all three months are complete.</x:v>
      </x:c>
      <x:c r="B14" s="101"/>
      <x:c r="C14" s="101"/>
      <x:c r="D14" s="101"/>
      <x:c r="E14" s="101"/>
      <x:c r="F14" s="101"/>
      <x:c r="G14" s="101"/>
      <x:c r="H14" s="102"/>
      <x:c r="J14" s="106" t="str">
        <x:v>2024Q4</x:v>
      </x:c>
      <x:c r="K14" s="106" t="n">
        <x:v>3.84</x:v>
      </x:c>
      <x:c r="L14" s="106"/>
      <x:c r="M14" s="106"/>
    </x:row>
    <x:row r="15">
      <x:c r="A15" s="103"/>
      <x:c r="B15" s="104"/>
      <x:c r="C15" s="104"/>
      <x:c r="D15" s="104"/>
      <x:c r="E15" s="104"/>
      <x:c r="F15" s="104"/>
      <x:c r="G15" s="104"/>
      <x:c r="H15" s="105"/>
      <x:c r="J15" s="106" t="str">
        <x:v>2025Q1</x:v>
      </x:c>
      <x:c r="K15" s="106" t="n">
        <x:v>3.1300000000000003</x:v>
      </x:c>
      <x:c r="L15" s="106"/>
      <x:c r="M15" s="106"/>
    </x:row>
    <x:row r="16">
      <x:c r="J16" s="106" t="str">
        <x:v>2025Q2</x:v>
      </x:c>
      <x:c r="K16" s="106" t="n">
        <x:v>4.2299999999999995</x:v>
      </x:c>
      <x:c r="L16" s="106"/>
      <x:c r="M16" s="106"/>
    </x:row>
    <x:row r="17">
      <x:c r="J17" s="106" t="str">
        <x:v>2025Q3</x:v>
      </x:c>
      <x:c r="K17" s="106" t="n">
        <x:v>3.9800000000000004</x:v>
      </x:c>
      <x:c r="L17" s="106"/>
      <x:c r="M17" s="106"/>
    </x:row>
    <x:row r="18">
      <x:c r="J18" s="106" t="str">
        <x:v>2025Q4</x:v>
      </x:c>
      <x:c r="K18" s="106" t="n">
        <x:v>4.07</x:v>
      </x:c>
      <x:c r="L18" s="106"/>
      <x:c r="M18" s="106"/>
    </x:row>
    <x:row r="19">
      <x:c r="J19" s="106" t="str">
        <x:v>2026Q1</x:v>
      </x:c>
      <x:c r="K19" s="106" t="n">
        <x:v>3.8899999999999997</x:v>
      </x:c>
      <x:c r="L19" s="106"/>
      <x:c r="M19" s="106"/>
    </x:row>
    <x:row r="20">
      <x:c r="J20" s="106" t="str">
        <x:v>2026Q2</x:v>
      </x:c>
      <x:c r="K20" s="106" t="n">
        <x:v>4.43</x:v>
      </x:c>
      <x:c r="L20" s="106" t="n">
        <x:v>4.43</x:v>
      </x:c>
      <x:c r="M20" s="106" t="n">
        <x:v>4.43</x:v>
      </x:c>
    </x:row>
    <x:row r="21">
      <x:c r="J21" s="106" t="str">
        <x:v>2026Q3</x:v>
      </x:c>
      <x:c r="K21" s="106"/>
      <x:c r="L21" s="106" t="n">
        <x:v>4.34</x:v>
      </x:c>
      <x:c r="M21" s="106" t="n">
        <x:v>4.5</x:v>
      </x:c>
    </x:row>
  </x:sheetData>
  <x:mergeCells>
    <x:mergeCell ref="A1:H1"/>
    <x:mergeCell ref="A2:H2"/>
    <x:mergeCell ref="A10:H12"/>
    <x:mergeCell ref="A14:H15"/>
  </x:mergeCells>
  <x:pageMargins left="0.7" right="0.7" top="0.75" bottom="0.75" header="0.3" footer="0.3"/>
  <x:drawing xmlns:r="http://schemas.openxmlformats.org/officeDocument/2006/relationships" r:id="Rf4e66ebe40514e61"/>
</x:worksheet>
</file>

<file path=xl/worksheets/sheet2.xml><?xml version="1.0" encoding="utf-8"?>
<x:worksheet xmlns:x="http://schemas.openxmlformats.org/spreadsheetml/2006/main">
  <x:sheetPr>
    <x:tabColor rgb="FFD9A44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5" hidden="0" customWidth="1"/>
    <x:col min="5" max="5" width="12" hidden="0" customWidth="1"/>
    <x:col min="6" max="6" width="18" hidden="0" customWidth="1"/>
    <x:col min="7" max="7" width="17" hidden="0" customWidth="1"/>
    <x:col min="8" max="8" width="17" hidden="0" customWidth="1"/>
    <x:col min="9" max="9" width="24" hidden="0" customWidth="1"/>
  </x:cols>
  <x:sheetData>
    <x:row r="1" ht="34" customHeight="1">
      <x:c r="A1" s="12" t="str">
        <x:v>Nigeria Quarterly Real GDP Growth Forecast</x:v>
      </x:c>
      <x:c r="B1" s="12"/>
      <x:c r="C1" s="12"/>
      <x:c r="D1" s="12"/>
      <x:c r="E1" s="12"/>
      <x:c r="F1" s="12"/>
      <x:c r="G1" s="12"/>
      <x:c r="H1" s="12"/>
      <x:c r="I1" s="12"/>
    </x:row>
    <x:row r="2" ht="28" customHeight="1">
      <x:c r="A2" s="16" t="str">
        <x:v>Quarterly GDP lags are combined with available-month averages of inflation, CPD, monthly M2 growth and PMI.</x:v>
      </x:c>
      <x:c r="B2" s="16"/>
      <x:c r="C2" s="16"/>
      <x:c r="D2" s="16"/>
      <x:c r="E2" s="16"/>
      <x:c r="F2" s="16"/>
      <x:c r="G2" s="16"/>
      <x:c r="H2" s="16"/>
      <x:c r="I2" s="16"/>
    </x:row>
    <x:row r="3" ht="28" customHeight="1">
      <x:c r="A3" s="6" t="str">
        <x:v>Quarter</x:v>
      </x:c>
      <x:c r="B3" s="6" t="str">
        <x:v>Actual YoY growth (%)</x:v>
      </x:c>
      <x:c r="C3" s="6" t="str">
        <x:v>Joint model (%)</x:v>
      </x:c>
      <x:c r="D3" s="6" t="str">
        <x:v>PMI average</x:v>
      </x:c>
      <x:c r="E3" s="6" t="str">
        <x:v>PMI in equation</x:v>
      </x:c>
      <x:c r="F3" s="6" t="str">
        <x:v>Published point (%)</x:v>
      </x:c>
      <x:c r="G3" s="6" t="str">
        <x:v>Published lower (%)</x:v>
      </x:c>
      <x:c r="H3" s="6" t="str">
        <x:v>Published upper (%)</x:v>
      </x:c>
      <x:c r="I3" s="6" t="str">
        <x:v>Release status</x:v>
      </x:c>
    </x:row>
    <x:row r="4">
      <x:c r="A4" s="3" t="str">
        <x:v>2010Q1</x:v>
      </x:c>
      <x:c r="B4" s="8" t="n">
        <x:v>7.359999999999999</x:v>
      </x:c>
      <x:c r="C4" s="8"/>
      <x:c r="D4" s="8"/>
      <x:c r="E4" s="39"/>
      <x:c r="F4" s="8"/>
      <x:c r="G4" s="8"/>
      <x:c r="H4" s="8"/>
      <x:c r="I4" s="3" t="str">
        <x:v>Official actual</x:v>
      </x:c>
    </x:row>
    <x:row r="5">
      <x:c r="A5" s="3" t="str">
        <x:v>2010Q2</x:v>
      </x:c>
      <x:c r="B5" s="8" t="n">
        <x:v>7.6899999999999995</x:v>
      </x:c>
      <x:c r="C5" s="8"/>
      <x:c r="D5" s="8"/>
      <x:c r="E5" s="39"/>
      <x:c r="F5" s="8"/>
      <x:c r="G5" s="8"/>
      <x:c r="H5" s="8"/>
      <x:c r="I5" s="3" t="str">
        <x:v>Official actual</x:v>
      </x:c>
    </x:row>
    <x:row r="6">
      <x:c r="A6" s="3" t="str">
        <x:v>2010Q3</x:v>
      </x:c>
      <x:c r="B6" s="8" t="n">
        <x:v>7.86</x:v>
      </x:c>
      <x:c r="C6" s="8"/>
      <x:c r="D6" s="8"/>
      <x:c r="E6" s="39"/>
      <x:c r="F6" s="8"/>
      <x:c r="G6" s="8"/>
      <x:c r="H6" s="8"/>
      <x:c r="I6" s="3" t="str">
        <x:v>Official actual</x:v>
      </x:c>
    </x:row>
    <x:row r="7">
      <x:c r="A7" s="3" t="str">
        <x:v>2010Q4</x:v>
      </x:c>
      <x:c r="B7" s="8" t="n">
        <x:v>8.6</x:v>
      </x:c>
      <x:c r="C7" s="8"/>
      <x:c r="D7" s="8"/>
      <x:c r="E7" s="39"/>
      <x:c r="F7" s="8"/>
      <x:c r="G7" s="8"/>
      <x:c r="H7" s="8"/>
      <x:c r="I7" s="3" t="str">
        <x:v>Official actual</x:v>
      </x:c>
    </x:row>
    <x:row r="8">
      <x:c r="A8" s="3" t="str">
        <x:v>2011Q1</x:v>
      </x:c>
      <x:c r="B8" s="8" t="n">
        <x:v>4.55</x:v>
      </x:c>
      <x:c r="C8" s="8"/>
      <x:c r="D8" s="8"/>
      <x:c r="E8" s="39"/>
      <x:c r="F8" s="8"/>
      <x:c r="G8" s="8"/>
      <x:c r="H8" s="8"/>
      <x:c r="I8" s="3" t="str">
        <x:v>Official actual</x:v>
      </x:c>
    </x:row>
    <x:row r="9">
      <x:c r="A9" s="3" t="str">
        <x:v>2011Q2</x:v>
      </x:c>
      <x:c r="B9" s="8" t="n">
        <x:v>5.4</x:v>
      </x:c>
      <x:c r="C9" s="8"/>
      <x:c r="D9" s="8"/>
      <x:c r="E9" s="39"/>
      <x:c r="F9" s="8"/>
      <x:c r="G9" s="8"/>
      <x:c r="H9" s="8"/>
      <x:c r="I9" s="3" t="str">
        <x:v>Official actual</x:v>
      </x:c>
    </x:row>
    <x:row r="10">
      <x:c r="A10" s="3" t="str">
        <x:v>2011Q3</x:v>
      </x:c>
      <x:c r="B10" s="8" t="n">
        <x:v>5.029999999999999</x:v>
      </x:c>
      <x:c r="C10" s="8"/>
      <x:c r="D10" s="8"/>
      <x:c r="E10" s="39"/>
      <x:c r="F10" s="8"/>
      <x:c r="G10" s="8"/>
      <x:c r="H10" s="8"/>
      <x:c r="I10" s="3" t="str">
        <x:v>Official actual</x:v>
      </x:c>
    </x:row>
    <x:row r="11">
      <x:c r="A11" s="3" t="str">
        <x:v>2011Q4</x:v>
      </x:c>
      <x:c r="B11" s="8" t="n">
        <x:v>5.7</x:v>
      </x:c>
      <x:c r="C11" s="8"/>
      <x:c r="D11" s="8"/>
      <x:c r="E11" s="39"/>
      <x:c r="F11" s="8"/>
      <x:c r="G11" s="8"/>
      <x:c r="H11" s="8"/>
      <x:c r="I11" s="3" t="str">
        <x:v>Official actual</x:v>
      </x:c>
    </x:row>
    <x:row r="12">
      <x:c r="A12" s="3" t="str">
        <x:v>2012Q1</x:v>
      </x:c>
      <x:c r="B12" s="8" t="n">
        <x:v>4.45</x:v>
      </x:c>
      <x:c r="C12" s="8"/>
      <x:c r="D12" s="8"/>
      <x:c r="E12" s="39"/>
      <x:c r="F12" s="8"/>
      <x:c r="G12" s="8"/>
      <x:c r="H12" s="8"/>
      <x:c r="I12" s="3" t="str">
        <x:v>Official actual</x:v>
      </x:c>
    </x:row>
    <x:row r="13">
      <x:c r="A13" s="3" t="str">
        <x:v>2012Q2</x:v>
      </x:c>
      <x:c r="B13" s="8" t="n">
        <x:v>4</x:v>
      </x:c>
      <x:c r="C13" s="8"/>
      <x:c r="D13" s="8"/>
      <x:c r="E13" s="39"/>
      <x:c r="F13" s="8"/>
      <x:c r="G13" s="8"/>
      <x:c r="H13" s="8"/>
      <x:c r="I13" s="3" t="str">
        <x:v>Official actual</x:v>
      </x:c>
    </x:row>
    <x:row r="14">
      <x:c r="A14" s="3" t="str">
        <x:v>2012Q3</x:v>
      </x:c>
      <x:c r="B14" s="8" t="n">
        <x:v>3.5700000000000003</x:v>
      </x:c>
      <x:c r="C14" s="8"/>
      <x:c r="D14" s="8"/>
      <x:c r="E14" s="39"/>
      <x:c r="F14" s="8"/>
      <x:c r="G14" s="8"/>
      <x:c r="H14" s="8"/>
      <x:c r="I14" s="3" t="str">
        <x:v>Official actual</x:v>
      </x:c>
    </x:row>
    <x:row r="15">
      <x:c r="A15" s="3" t="str">
        <x:v>2012Q4</x:v>
      </x:c>
      <x:c r="B15" s="8" t="n">
        <x:v>4.21</x:v>
      </x:c>
      <x:c r="C15" s="8"/>
      <x:c r="D15" s="8"/>
      <x:c r="E15" s="39"/>
      <x:c r="F15" s="8"/>
      <x:c r="G15" s="8"/>
      <x:c r="H15" s="8"/>
      <x:c r="I15" s="3" t="str">
        <x:v>Official actual</x:v>
      </x:c>
    </x:row>
    <x:row r="16">
      <x:c r="A16" s="3" t="str">
        <x:v>2013Q1</x:v>
      </x:c>
      <x:c r="B16" s="8" t="n">
        <x:v>4.21</x:v>
      </x:c>
      <x:c r="C16" s="8"/>
      <x:c r="D16" s="8"/>
      <x:c r="E16" s="39"/>
      <x:c r="F16" s="8"/>
      <x:c r="G16" s="8"/>
      <x:c r="H16" s="8"/>
      <x:c r="I16" s="3" t="str">
        <x:v>Official actual</x:v>
      </x:c>
    </x:row>
    <x:row r="17">
      <x:c r="A17" s="3" t="str">
        <x:v>2013Q2</x:v>
      </x:c>
      <x:c r="B17" s="8" t="n">
        <x:v>5.4</x:v>
      </x:c>
      <x:c r="C17" s="8"/>
      <x:c r="D17" s="8"/>
      <x:c r="E17" s="39"/>
      <x:c r="F17" s="8"/>
      <x:c r="G17" s="8"/>
      <x:c r="H17" s="8"/>
      <x:c r="I17" s="3" t="str">
        <x:v>Official actual</x:v>
      </x:c>
    </x:row>
    <x:row r="18">
      <x:c r="A18" s="3" t="str">
        <x:v>2013Q3</x:v>
      </x:c>
      <x:c r="B18" s="8" t="n">
        <x:v>5.17</x:v>
      </x:c>
      <x:c r="C18" s="8"/>
      <x:c r="D18" s="8"/>
      <x:c r="E18" s="39"/>
      <x:c r="F18" s="8"/>
      <x:c r="G18" s="8"/>
      <x:c r="H18" s="8"/>
      <x:c r="I18" s="3" t="str">
        <x:v>Official actual</x:v>
      </x:c>
    </x:row>
    <x:row r="19">
      <x:c r="A19" s="3" t="str">
        <x:v>2013Q4</x:v>
      </x:c>
      <x:c r="B19" s="8" t="n">
        <x:v>6.77</x:v>
      </x:c>
      <x:c r="C19" s="8"/>
      <x:c r="D19" s="8"/>
      <x:c r="E19" s="39"/>
      <x:c r="F19" s="8"/>
      <x:c r="G19" s="8"/>
      <x:c r="H19" s="8"/>
      <x:c r="I19" s="3" t="str">
        <x:v>Official actual</x:v>
      </x:c>
    </x:row>
    <x:row r="20">
      <x:c r="A20" s="3" t="str">
        <x:v>2014Q1</x:v>
      </x:c>
      <x:c r="B20" s="8" t="n">
        <x:v>6.21</x:v>
      </x:c>
      <x:c r="C20" s="8"/>
      <x:c r="D20" s="8"/>
      <x:c r="E20" s="39"/>
      <x:c r="F20" s="8"/>
      <x:c r="G20" s="8"/>
      <x:c r="H20" s="8"/>
      <x:c r="I20" s="3" t="str">
        <x:v>Official actual</x:v>
      </x:c>
    </x:row>
    <x:row r="21">
      <x:c r="A21" s="3" t="str">
        <x:v>2014Q2</x:v>
      </x:c>
      <x:c r="B21" s="8" t="n">
        <x:v>6.54</x:v>
      </x:c>
      <x:c r="C21" s="8"/>
      <x:c r="D21" s="8"/>
      <x:c r="E21" s="39"/>
      <x:c r="F21" s="8"/>
      <x:c r="G21" s="8"/>
      <x:c r="H21" s="8"/>
      <x:c r="I21" s="3" t="str">
        <x:v>Official actual</x:v>
      </x:c>
    </x:row>
    <x:row r="22">
      <x:c r="A22" s="3" t="str">
        <x:v>2014Q3</x:v>
      </x:c>
      <x:c r="B22" s="8" t="n">
        <x:v>5.17</x:v>
      </x:c>
      <x:c r="C22" s="8"/>
      <x:c r="D22" s="8"/>
      <x:c r="E22" s="39"/>
      <x:c r="F22" s="8"/>
      <x:c r="G22" s="8"/>
      <x:c r="H22" s="8"/>
      <x:c r="I22" s="3" t="str">
        <x:v>Official actual</x:v>
      </x:c>
    </x:row>
    <x:row r="23">
      <x:c r="A23" s="3" t="str">
        <x:v>2014Q4</x:v>
      </x:c>
      <x:c r="B23" s="8" t="n">
        <x:v>5.94</x:v>
      </x:c>
      <x:c r="C23" s="8"/>
      <x:c r="D23" s="8"/>
      <x:c r="E23" s="39"/>
      <x:c r="F23" s="8"/>
      <x:c r="G23" s="8"/>
      <x:c r="H23" s="8"/>
      <x:c r="I23" s="3" t="str">
        <x:v>Official actual</x:v>
      </x:c>
    </x:row>
    <x:row r="24">
      <x:c r="A24" s="3" t="str">
        <x:v>2015Q1</x:v>
      </x:c>
      <x:c r="B24" s="8" t="n">
        <x:v>3.9600000000000004</x:v>
      </x:c>
      <x:c r="C24" s="8"/>
      <x:c r="D24" s="8"/>
      <x:c r="E24" s="39"/>
      <x:c r="F24" s="8"/>
      <x:c r="G24" s="8"/>
      <x:c r="H24" s="8"/>
      <x:c r="I24" s="3" t="str">
        <x:v>Official actual</x:v>
      </x:c>
    </x:row>
    <x:row r="25">
      <x:c r="A25" s="3" t="str">
        <x:v>2015Q2</x:v>
      </x:c>
      <x:c r="B25" s="8" t="n">
        <x:v>2.35</x:v>
      </x:c>
      <x:c r="C25" s="8"/>
      <x:c r="D25" s="8"/>
      <x:c r="E25" s="39"/>
      <x:c r="F25" s="8"/>
      <x:c r="G25" s="8"/>
      <x:c r="H25" s="8"/>
      <x:c r="I25" s="3" t="str">
        <x:v>Official actual</x:v>
      </x:c>
    </x:row>
    <x:row r="26">
      <x:c r="A26" s="3" t="str">
        <x:v>2015Q3</x:v>
      </x:c>
      <x:c r="B26" s="8" t="n">
        <x:v>2.8400000000000003</x:v>
      </x:c>
      <x:c r="C26" s="8"/>
      <x:c r="D26" s="8"/>
      <x:c r="E26" s="39"/>
      <x:c r="F26" s="8"/>
      <x:c r="G26" s="8"/>
      <x:c r="H26" s="8"/>
      <x:c r="I26" s="3" t="str">
        <x:v>Official actual</x:v>
      </x:c>
    </x:row>
    <x:row r="27">
      <x:c r="A27" s="3" t="str">
        <x:v>2015Q4</x:v>
      </x:c>
      <x:c r="B27" s="8" t="n">
        <x:v>2.11</x:v>
      </x:c>
      <x:c r="C27" s="8"/>
      <x:c r="D27" s="8"/>
      <x:c r="E27" s="39"/>
      <x:c r="F27" s="8"/>
      <x:c r="G27" s="8"/>
      <x:c r="H27" s="8"/>
      <x:c r="I27" s="3" t="str">
        <x:v>Official actual</x:v>
      </x:c>
    </x:row>
    <x:row r="28">
      <x:c r="A28" s="3" t="str">
        <x:v>2016Q1</x:v>
      </x:c>
      <x:c r="B28" s="8" t="n">
        <x:v>-0.67</x:v>
      </x:c>
      <x:c r="C28" s="8"/>
      <x:c r="D28" s="8"/>
      <x:c r="E28" s="39"/>
      <x:c r="F28" s="8"/>
      <x:c r="G28" s="8"/>
      <x:c r="H28" s="8"/>
      <x:c r="I28" s="3" t="str">
        <x:v>Official actual</x:v>
      </x:c>
    </x:row>
    <x:row r="29">
      <x:c r="A29" s="3" t="str">
        <x:v>2016Q2</x:v>
      </x:c>
      <x:c r="B29" s="8" t="n">
        <x:v>-1.49</x:v>
      </x:c>
      <x:c r="C29" s="8"/>
      <x:c r="D29" s="8"/>
      <x:c r="E29" s="39"/>
      <x:c r="F29" s="8"/>
      <x:c r="G29" s="8"/>
      <x:c r="H29" s="8"/>
      <x:c r="I29" s="3" t="str">
        <x:v>Official actual</x:v>
      </x:c>
    </x:row>
    <x:row r="30">
      <x:c r="A30" s="3" t="str">
        <x:v>2016Q3</x:v>
      </x:c>
      <x:c r="B30" s="8" t="n">
        <x:v>-2.34</x:v>
      </x:c>
      <x:c r="C30" s="8"/>
      <x:c r="D30" s="8"/>
      <x:c r="E30" s="39"/>
      <x:c r="F30" s="8"/>
      <x:c r="G30" s="8"/>
      <x:c r="H30" s="8"/>
      <x:c r="I30" s="3" t="str">
        <x:v>Official actual</x:v>
      </x:c>
    </x:row>
    <x:row r="31">
      <x:c r="A31" s="3" t="str">
        <x:v>2016Q4</x:v>
      </x:c>
      <x:c r="B31" s="8" t="n">
        <x:v>-1.73</x:v>
      </x:c>
      <x:c r="C31" s="8"/>
      <x:c r="D31" s="8"/>
      <x:c r="E31" s="39"/>
      <x:c r="F31" s="8"/>
      <x:c r="G31" s="8"/>
      <x:c r="H31" s="8"/>
      <x:c r="I31" s="3" t="str">
        <x:v>Official actual</x:v>
      </x:c>
    </x:row>
    <x:row r="32">
      <x:c r="A32" s="3" t="str">
        <x:v>2017Q1</x:v>
      </x:c>
      <x:c r="B32" s="8" t="n">
        <x:v>-0.91</x:v>
      </x:c>
      <x:c r="C32" s="8"/>
      <x:c r="D32" s="8"/>
      <x:c r="E32" s="39"/>
      <x:c r="F32" s="8"/>
      <x:c r="G32" s="8"/>
      <x:c r="H32" s="8"/>
      <x:c r="I32" s="3" t="str">
        <x:v>Official actual</x:v>
      </x:c>
    </x:row>
    <x:row r="33">
      <x:c r="A33" s="3" t="str">
        <x:v>2017Q2</x:v>
      </x:c>
      <x:c r="B33" s="8" t="n">
        <x:v>0.72</x:v>
      </x:c>
      <x:c r="C33" s="8"/>
      <x:c r="D33" s="8"/>
      <x:c r="E33" s="39"/>
      <x:c r="F33" s="8"/>
      <x:c r="G33" s="8"/>
      <x:c r="H33" s="8"/>
      <x:c r="I33" s="3" t="str">
        <x:v>Official actual</x:v>
      </x:c>
    </x:row>
    <x:row r="34">
      <x:c r="A34" s="3" t="str">
        <x:v>2017Q3</x:v>
      </x:c>
      <x:c r="B34" s="8" t="n">
        <x:v>1.4000000000000001</x:v>
      </x:c>
      <x:c r="C34" s="8"/>
      <x:c r="D34" s="8"/>
      <x:c r="E34" s="39"/>
      <x:c r="F34" s="8"/>
      <x:c r="G34" s="8"/>
      <x:c r="H34" s="8"/>
      <x:c r="I34" s="3" t="str">
        <x:v>Official actual</x:v>
      </x:c>
    </x:row>
    <x:row r="35">
      <x:c r="A35" s="3" t="str">
        <x:v>2017Q4</x:v>
      </x:c>
      <x:c r="B35" s="8" t="n">
        <x:v>2.11</x:v>
      </x:c>
      <x:c r="C35" s="8"/>
      <x:c r="D35" s="8"/>
      <x:c r="E35" s="39"/>
      <x:c r="F35" s="8"/>
      <x:c r="G35" s="8"/>
      <x:c r="H35" s="8"/>
      <x:c r="I35" s="3" t="str">
        <x:v>Official actual</x:v>
      </x:c>
    </x:row>
    <x:row r="36">
      <x:c r="A36" s="3" t="str">
        <x:v>2018Q1</x:v>
      </x:c>
      <x:c r="B36" s="8" t="n">
        <x:v>1.95</x:v>
      </x:c>
      <x:c r="C36" s="8"/>
      <x:c r="D36" s="8"/>
      <x:c r="E36" s="39"/>
      <x:c r="F36" s="8"/>
      <x:c r="G36" s="8"/>
      <x:c r="H36" s="8"/>
      <x:c r="I36" s="3" t="str">
        <x:v>Official actual</x:v>
      </x:c>
    </x:row>
    <x:row r="37">
      <x:c r="A37" s="3" t="str">
        <x:v>2018Q2</x:v>
      </x:c>
      <x:c r="B37" s="8" t="n">
        <x:v>1.5</x:v>
      </x:c>
      <x:c r="C37" s="8"/>
      <x:c r="D37" s="8"/>
      <x:c r="E37" s="39"/>
      <x:c r="F37" s="8"/>
      <x:c r="G37" s="8"/>
      <x:c r="H37" s="8"/>
      <x:c r="I37" s="3" t="str">
        <x:v>Official actual</x:v>
      </x:c>
    </x:row>
    <x:row r="38">
      <x:c r="A38" s="3" t="str">
        <x:v>2018Q3</x:v>
      </x:c>
      <x:c r="B38" s="8" t="n">
        <x:v>1.81</x:v>
      </x:c>
      <x:c r="C38" s="8"/>
      <x:c r="D38" s="8"/>
      <x:c r="E38" s="39"/>
      <x:c r="F38" s="8"/>
      <x:c r="G38" s="8"/>
      <x:c r="H38" s="8"/>
      <x:c r="I38" s="3" t="str">
        <x:v>Official actual</x:v>
      </x:c>
    </x:row>
    <x:row r="39">
      <x:c r="A39" s="3" t="str">
        <x:v>2018Q4</x:v>
      </x:c>
      <x:c r="B39" s="8" t="n">
        <x:v>2.3800000000000003</x:v>
      </x:c>
      <x:c r="C39" s="8"/>
      <x:c r="D39" s="8"/>
      <x:c r="E39" s="39"/>
      <x:c r="F39" s="8"/>
      <x:c r="G39" s="8"/>
      <x:c r="H39" s="8"/>
      <x:c r="I39" s="3" t="str">
        <x:v>Official actual</x:v>
      </x:c>
    </x:row>
    <x:row r="40">
      <x:c r="A40" s="3" t="str">
        <x:v>2019Q1</x:v>
      </x:c>
      <x:c r="B40" s="8" t="n">
        <x:v>2.1</x:v>
      </x:c>
      <x:c r="C40" s="8"/>
      <x:c r="D40" s="8"/>
      <x:c r="E40" s="39"/>
      <x:c r="F40" s="8"/>
      <x:c r="G40" s="8"/>
      <x:c r="H40" s="8"/>
      <x:c r="I40" s="3" t="str">
        <x:v>Official actual</x:v>
      </x:c>
    </x:row>
    <x:row r="41">
      <x:c r="A41" s="3" t="str">
        <x:v>2019Q2</x:v>
      </x:c>
      <x:c r="B41" s="8" t="n">
        <x:v>2.12</x:v>
      </x:c>
      <x:c r="C41" s="8"/>
      <x:c r="D41" s="8"/>
      <x:c r="E41" s="39"/>
      <x:c r="F41" s="8"/>
      <x:c r="G41" s="8"/>
      <x:c r="H41" s="8"/>
      <x:c r="I41" s="3" t="str">
        <x:v>Official actual</x:v>
      </x:c>
    </x:row>
    <x:row r="42">
      <x:c r="A42" s="3" t="str">
        <x:v>2019Q3</x:v>
      </x:c>
      <x:c r="B42" s="8" t="n">
        <x:v>2.2800000000000002</x:v>
      </x:c>
      <x:c r="C42" s="8"/>
      <x:c r="D42" s="8"/>
      <x:c r="E42" s="39"/>
      <x:c r="F42" s="8"/>
      <x:c r="G42" s="8"/>
      <x:c r="H42" s="8"/>
      <x:c r="I42" s="3" t="str">
        <x:v>Official actual</x:v>
      </x:c>
    </x:row>
    <x:row r="43">
      <x:c r="A43" s="3" t="str">
        <x:v>2019Q4</x:v>
      </x:c>
      <x:c r="B43" s="8" t="n">
        <x:v>2.55</x:v>
      </x:c>
      <x:c r="C43" s="8"/>
      <x:c r="D43" s="8"/>
      <x:c r="E43" s="39"/>
      <x:c r="F43" s="8"/>
      <x:c r="G43" s="8"/>
      <x:c r="H43" s="8"/>
      <x:c r="I43" s="3" t="str">
        <x:v>Official actual</x:v>
      </x:c>
    </x:row>
    <x:row r="44">
      <x:c r="A44" s="3" t="str">
        <x:v>2020Q1</x:v>
      </x:c>
      <x:c r="B44" s="8" t="n">
        <x:v>1.87</x:v>
      </x:c>
      <x:c r="C44" s="8"/>
      <x:c r="D44" s="8"/>
      <x:c r="E44" s="39"/>
      <x:c r="F44" s="8"/>
      <x:c r="G44" s="8"/>
      <x:c r="H44" s="8"/>
      <x:c r="I44" s="3" t="str">
        <x:v>Official actual</x:v>
      </x:c>
    </x:row>
    <x:row r="45">
      <x:c r="A45" s="3" t="str">
        <x:v>2020Q2</x:v>
      </x:c>
      <x:c r="B45" s="8" t="n">
        <x:v>-6.1</x:v>
      </x:c>
      <x:c r="C45" s="8"/>
      <x:c r="D45" s="8"/>
      <x:c r="E45" s="39"/>
      <x:c r="F45" s="8"/>
      <x:c r="G45" s="8"/>
      <x:c r="H45" s="8"/>
      <x:c r="I45" s="3" t="str">
        <x:v>Official actual</x:v>
      </x:c>
    </x:row>
    <x:row r="46">
      <x:c r="A46" s="3" t="str">
        <x:v>2020Q3</x:v>
      </x:c>
      <x:c r="B46" s="8" t="n">
        <x:v>-3.62</x:v>
      </x:c>
      <x:c r="C46" s="8"/>
      <x:c r="D46" s="8"/>
      <x:c r="E46" s="39"/>
      <x:c r="F46" s="8"/>
      <x:c r="G46" s="8"/>
      <x:c r="H46" s="8"/>
      <x:c r="I46" s="3" t="str">
        <x:v>Official actual</x:v>
      </x:c>
    </x:row>
    <x:row r="47">
      <x:c r="A47" s="3" t="str">
        <x:v>2020Q4</x:v>
      </x:c>
      <x:c r="B47" s="8" t="n">
        <x:v>0.11</x:v>
      </x:c>
      <x:c r="C47" s="8"/>
      <x:c r="D47" s="8"/>
      <x:c r="E47" s="39"/>
      <x:c r="F47" s="8"/>
      <x:c r="G47" s="8"/>
      <x:c r="H47" s="8"/>
      <x:c r="I47" s="3" t="str">
        <x:v>Official actual</x:v>
      </x:c>
    </x:row>
    <x:row r="48">
      <x:c r="A48" s="3" t="str">
        <x:v>2021Q1</x:v>
      </x:c>
      <x:c r="B48" s="8" t="n">
        <x:v>0.51</x:v>
      </x:c>
      <x:c r="C48" s="8"/>
      <x:c r="D48" s="8"/>
      <x:c r="E48" s="39"/>
      <x:c r="F48" s="8"/>
      <x:c r="G48" s="8"/>
      <x:c r="H48" s="8"/>
      <x:c r="I48" s="3" t="str">
        <x:v>Official actual</x:v>
      </x:c>
    </x:row>
    <x:row r="49">
      <x:c r="A49" s="3" t="str">
        <x:v>2021Q2</x:v>
      </x:c>
      <x:c r="B49" s="8" t="n">
        <x:v>5.01</x:v>
      </x:c>
      <x:c r="C49" s="8"/>
      <x:c r="D49" s="8"/>
      <x:c r="E49" s="39"/>
      <x:c r="F49" s="8"/>
      <x:c r="G49" s="8"/>
      <x:c r="H49" s="8"/>
      <x:c r="I49" s="3" t="str">
        <x:v>Official actual</x:v>
      </x:c>
    </x:row>
    <x:row r="50">
      <x:c r="A50" s="3" t="str">
        <x:v>2021Q3</x:v>
      </x:c>
      <x:c r="B50" s="8" t="n">
        <x:v>4.03</x:v>
      </x:c>
      <x:c r="C50" s="8"/>
      <x:c r="D50" s="8"/>
      <x:c r="E50" s="39"/>
      <x:c r="F50" s="8"/>
      <x:c r="G50" s="8"/>
      <x:c r="H50" s="8"/>
      <x:c r="I50" s="3" t="str">
        <x:v>Official actual</x:v>
      </x:c>
    </x:row>
    <x:row r="51">
      <x:c r="A51" s="3" t="str">
        <x:v>2021Q4</x:v>
      </x:c>
      <x:c r="B51" s="8" t="n">
        <x:v>3.9800000000000004</x:v>
      </x:c>
      <x:c r="C51" s="8"/>
      <x:c r="D51" s="8"/>
      <x:c r="E51" s="39"/>
      <x:c r="F51" s="8"/>
      <x:c r="G51" s="8"/>
      <x:c r="H51" s="8"/>
      <x:c r="I51" s="3" t="str">
        <x:v>Official actual</x:v>
      </x:c>
    </x:row>
    <x:row r="52">
      <x:c r="A52" s="3" t="str">
        <x:v>2022Q1</x:v>
      </x:c>
      <x:c r="B52" s="8" t="n">
        <x:v>3.11</x:v>
      </x:c>
      <x:c r="C52" s="8"/>
      <x:c r="D52" s="8"/>
      <x:c r="E52" s="39"/>
      <x:c r="F52" s="8"/>
      <x:c r="G52" s="8"/>
      <x:c r="H52" s="8"/>
      <x:c r="I52" s="3" t="str">
        <x:v>Official actual</x:v>
      </x:c>
    </x:row>
    <x:row r="53">
      <x:c r="A53" s="3" t="str">
        <x:v>2022Q2</x:v>
      </x:c>
      <x:c r="B53" s="8" t="n">
        <x:v>3.54</x:v>
      </x:c>
      <x:c r="C53" s="8"/>
      <x:c r="D53" s="8"/>
      <x:c r="E53" s="39"/>
      <x:c r="F53" s="8"/>
      <x:c r="G53" s="8"/>
      <x:c r="H53" s="8"/>
      <x:c r="I53" s="3" t="str">
        <x:v>Official actual</x:v>
      </x:c>
    </x:row>
    <x:row r="54">
      <x:c r="A54" s="3" t="str">
        <x:v>2022Q3</x:v>
      </x:c>
      <x:c r="B54" s="8" t="n">
        <x:v>2.25</x:v>
      </x:c>
      <x:c r="C54" s="8"/>
      <x:c r="D54" s="8"/>
      <x:c r="E54" s="39"/>
      <x:c r="F54" s="8"/>
      <x:c r="G54" s="8"/>
      <x:c r="H54" s="8"/>
      <x:c r="I54" s="3" t="str">
        <x:v>Official actual</x:v>
      </x:c>
    </x:row>
    <x:row r="55">
      <x:c r="A55" s="3" t="str">
        <x:v>2022Q4</x:v>
      </x:c>
      <x:c r="B55" s="8" t="n">
        <x:v>3.52</x:v>
      </x:c>
      <x:c r="C55" s="8"/>
      <x:c r="D55" s="8"/>
      <x:c r="E55" s="39"/>
      <x:c r="F55" s="8"/>
      <x:c r="G55" s="8"/>
      <x:c r="H55" s="8"/>
      <x:c r="I55" s="3" t="str">
        <x:v>Official actual</x:v>
      </x:c>
    </x:row>
    <x:row r="56">
      <x:c r="A56" s="3" t="str">
        <x:v>2023Q1</x:v>
      </x:c>
      <x:c r="B56" s="8" t="n">
        <x:v>2.31</x:v>
      </x:c>
      <x:c r="C56" s="8"/>
      <x:c r="D56" s="8"/>
      <x:c r="E56" s="39"/>
      <x:c r="F56" s="8"/>
      <x:c r="G56" s="8"/>
      <x:c r="H56" s="8"/>
      <x:c r="I56" s="3" t="str">
        <x:v>Official actual</x:v>
      </x:c>
    </x:row>
    <x:row r="57">
      <x:c r="A57" s="3" t="str">
        <x:v>2023Q2</x:v>
      </x:c>
      <x:c r="B57" s="8" t="n">
        <x:v>2.5100000000000002</x:v>
      </x:c>
      <x:c r="C57" s="8"/>
      <x:c r="D57" s="8"/>
      <x:c r="E57" s="39"/>
      <x:c r="F57" s="8"/>
      <x:c r="G57" s="8"/>
      <x:c r="H57" s="8"/>
      <x:c r="I57" s="3" t="str">
        <x:v>Official actual</x:v>
      </x:c>
    </x:row>
    <x:row r="58">
      <x:c r="A58" s="3" t="str">
        <x:v>2023Q3</x:v>
      </x:c>
      <x:c r="B58" s="8" t="n">
        <x:v>2.54</x:v>
      </x:c>
      <x:c r="C58" s="8"/>
      <x:c r="D58" s="8"/>
      <x:c r="E58" s="39"/>
      <x:c r="F58" s="8"/>
      <x:c r="G58" s="8"/>
      <x:c r="H58" s="8"/>
      <x:c r="I58" s="3" t="str">
        <x:v>Official actual</x:v>
      </x:c>
    </x:row>
    <x:row r="59">
      <x:c r="A59" s="3" t="str">
        <x:v>2023Q4</x:v>
      </x:c>
      <x:c r="B59" s="8" t="n">
        <x:v>3.46</x:v>
      </x:c>
      <x:c r="C59" s="8"/>
      <x:c r="D59" s="8"/>
      <x:c r="E59" s="39"/>
      <x:c r="F59" s="8"/>
      <x:c r="G59" s="8"/>
      <x:c r="H59" s="8"/>
      <x:c r="I59" s="3" t="str">
        <x:v>Official actual</x:v>
      </x:c>
    </x:row>
    <x:row r="60">
      <x:c r="A60" s="3" t="str">
        <x:v>2024Q1</x:v>
      </x:c>
      <x:c r="B60" s="8" t="n">
        <x:v>2.98</x:v>
      </x:c>
      <x:c r="C60" s="8"/>
      <x:c r="D60" s="8"/>
      <x:c r="E60" s="39"/>
      <x:c r="F60" s="8"/>
      <x:c r="G60" s="8"/>
      <x:c r="H60" s="8"/>
      <x:c r="I60" s="3" t="str">
        <x:v>Official actual</x:v>
      </x:c>
    </x:row>
    <x:row r="61">
      <x:c r="A61" s="3" t="str">
        <x:v>2024Q2</x:v>
      </x:c>
      <x:c r="B61" s="8" t="n">
        <x:v>3.19</x:v>
      </x:c>
      <x:c r="C61" s="8"/>
      <x:c r="D61" s="8"/>
      <x:c r="E61" s="39"/>
      <x:c r="F61" s="8"/>
      <x:c r="G61" s="8"/>
      <x:c r="H61" s="8"/>
      <x:c r="I61" s="3" t="str">
        <x:v>Official actual</x:v>
      </x:c>
    </x:row>
    <x:row r="62">
      <x:c r="A62" s="3" t="str">
        <x:v>2024Q3</x:v>
      </x:c>
      <x:c r="B62" s="8" t="n">
        <x:v>3.8600000000000003</x:v>
      </x:c>
      <x:c r="C62" s="8"/>
      <x:c r="D62" s="8"/>
      <x:c r="E62" s="39"/>
      <x:c r="F62" s="8"/>
      <x:c r="G62" s="8"/>
      <x:c r="H62" s="8"/>
      <x:c r="I62" s="3" t="str">
        <x:v>Official actual</x:v>
      </x:c>
    </x:row>
    <x:row r="63">
      <x:c r="A63" s="3" t="str">
        <x:v>2024Q4</x:v>
      </x:c>
      <x:c r="B63" s="8" t="n">
        <x:v>3.84</x:v>
      </x:c>
      <x:c r="C63" s="8"/>
      <x:c r="D63" s="8"/>
      <x:c r="E63" s="39"/>
      <x:c r="F63" s="8"/>
      <x:c r="G63" s="8"/>
      <x:c r="H63" s="8"/>
      <x:c r="I63" s="3" t="str">
        <x:v>Official actual</x:v>
      </x:c>
    </x:row>
    <x:row r="64">
      <x:c r="A64" s="3" t="str">
        <x:v>2025Q1</x:v>
      </x:c>
      <x:c r="B64" s="8" t="n">
        <x:v>3.1300000000000003</x:v>
      </x:c>
      <x:c r="C64" s="8"/>
      <x:c r="D64" s="8"/>
      <x:c r="E64" s="39"/>
      <x:c r="F64" s="8"/>
      <x:c r="G64" s="8"/>
      <x:c r="H64" s="8"/>
      <x:c r="I64" s="3" t="str">
        <x:v>Official actual</x:v>
      </x:c>
    </x:row>
    <x:row r="65">
      <x:c r="A65" s="3" t="str">
        <x:v>2025Q2</x:v>
      </x:c>
      <x:c r="B65" s="8" t="n">
        <x:v>4.2299999999999995</x:v>
      </x:c>
      <x:c r="C65" s="8"/>
      <x:c r="D65" s="8"/>
      <x:c r="E65" s="39"/>
      <x:c r="F65" s="8"/>
      <x:c r="G65" s="8"/>
      <x:c r="H65" s="8"/>
      <x:c r="I65" s="3" t="str">
        <x:v>Official actual</x:v>
      </x:c>
    </x:row>
    <x:row r="66">
      <x:c r="A66" s="3" t="str">
        <x:v>2025Q3</x:v>
      </x:c>
      <x:c r="B66" s="8" t="n">
        <x:v>3.9800000000000004</x:v>
      </x:c>
      <x:c r="C66" s="8"/>
      <x:c r="D66" s="8"/>
      <x:c r="E66" s="39"/>
      <x:c r="F66" s="8"/>
      <x:c r="G66" s="8"/>
      <x:c r="H66" s="8"/>
      <x:c r="I66" s="3" t="str">
        <x:v>Official actual</x:v>
      </x:c>
    </x:row>
    <x:row r="67">
      <x:c r="A67" s="3" t="str">
        <x:v>2025Q4</x:v>
      </x:c>
      <x:c r="B67" s="8" t="n">
        <x:v>4.07</x:v>
      </x:c>
      <x:c r="C67" s="8"/>
      <x:c r="D67" s="8"/>
      <x:c r="E67" s="39"/>
      <x:c r="F67" s="8"/>
      <x:c r="G67" s="8"/>
      <x:c r="H67" s="8"/>
      <x:c r="I67" s="3" t="str">
        <x:v>Official actual</x:v>
      </x:c>
    </x:row>
    <x:row r="68">
      <x:c r="A68" s="3" t="str">
        <x:v>2026Q1</x:v>
      </x:c>
      <x:c r="B68" s="8" t="n">
        <x:v>3.8899999999999997</x:v>
      </x:c>
      <x:c r="C68" s="8"/>
      <x:c r="D68" s="8"/>
      <x:c r="E68" s="39"/>
      <x:c r="F68" s="8"/>
      <x:c r="G68" s="8"/>
      <x:c r="H68" s="8"/>
      <x:c r="I68" s="3" t="str">
        <x:v>Official actual</x:v>
      </x:c>
    </x:row>
    <x:row r="69">
      <x:c r="A69" s="3" t="str">
        <x:v>2026Q2</x:v>
      </x:c>
      <x:c r="B69" s="8" t="n">
        <x:v>4.43</x:v>
      </x:c>
      <x:c r="C69" s="8"/>
      <x:c r="D69" s="8"/>
      <x:c r="E69" s="39"/>
      <x:c r="F69" s="8"/>
      <x:c r="G69" s="8"/>
      <x:c r="H69" s="8"/>
      <x:c r="I69" s="3" t="str">
        <x:v>Official actual</x:v>
      </x:c>
    </x:row>
    <x:row r="70">
      <x:c r="A70" s="44" t="str">
        <x:v>2026Q3</x:v>
      </x:c>
      <x:c r="B70" s="45"/>
      <x:c r="C70" s="45" t="n">
        <x:f>'Model Engine'!H4</x:f>
        <x:v>4.239735684928249</x:v>
      </x:c>
      <x:c r="D70" s="45" t="n">
        <x:f>'Model Engine'!H5</x:f>
        <x:v>51.900000000000006</x:v>
      </x:c>
      <x:c r="E70" s="46" t="str">
        <x:v>Yes</x:v>
      </x:c>
      <x:c r="F70" s="45"/>
      <x:c r="G70" s="45" t="n">
        <x:f>'Model Engine'!H16</x:f>
        <x:v>4.34</x:v>
      </x:c>
      <x:c r="H70" s="45" t="n">
        <x:f>'Model Engine'!H17</x:f>
        <x:v>4.5</x:v>
      </x:c>
      <x:c r="I70" s="44" t="str">
        <x:v>Indicative range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d85b824316c64055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13" hidden="0" customWidth="1"/>
    <x:col min="4" max="4" width="14" hidden="0" customWidth="1"/>
    <x:col min="5" max="5" width="14" hidden="0" customWidth="1"/>
    <x:col min="6" max="6" width="13" hidden="0" customWidth="1"/>
    <x:col min="7" max="7" width="19" hidden="0" customWidth="1"/>
  </x:cols>
  <x:sheetData>
    <x:row r="1" ht="34" customHeight="1">
      <x:c r="A1" s="12" t="str">
        <x:v>Out-of-Sample Model Comparison</x:v>
      </x:c>
      <x:c r="B1" s="12"/>
      <x:c r="C1" s="12"/>
      <x:c r="D1" s="12"/>
      <x:c r="E1" s="12"/>
      <x:c r="F1" s="12"/>
      <x:c r="G1" s="12"/>
    </x:row>
    <x:row r="2" ht="28" customHeight="1">
      <x:c r="A2" s="16" t="str">
        <x:v>Expanding-window validation begins in 2018Q1. Lowest RMSE determines the selected model; MAPE is secondary because GDP growth can approach zero.</x:v>
      </x:c>
      <x:c r="B2" s="16"/>
      <x:c r="C2" s="16"/>
      <x:c r="D2" s="16"/>
      <x:c r="E2" s="16"/>
      <x:c r="F2" s="16"/>
      <x:c r="G2" s="16"/>
    </x:row>
    <x:row r="3" ht="28" customHeight="1">
      <x:c r="A3" s="6" t="str">
        <x:v>Rank</x:v>
      </x:c>
      <x:c r="B3" s="6" t="str">
        <x:v>Model</x:v>
      </x:c>
      <x:c r="C3" s="6" t="str">
        <x:v>Ridge alpha</x:v>
      </x:c>
      <x:c r="D3" s="6" t="str">
        <x:v>RMSE (pp)</x:v>
      </x:c>
      <x:c r="E3" s="6" t="str">
        <x:v>MAE (pp)</x:v>
      </x:c>
      <x:c r="F3" s="6" t="str">
        <x:v>MAPE (%)</x:v>
      </x:c>
      <x:c r="G3" s="6" t="str">
        <x:v>Validation quarters</x:v>
      </x:c>
    </x:row>
    <x:row r="4">
      <x:c r="A4" s="50" t="n">
        <x:v>1</x:v>
      </x:c>
      <x:c r="B4" s="50" t="str">
        <x:v>Persistence AR(1)</x:v>
      </x:c>
      <x:c r="C4" s="51"/>
      <x:c r="D4" s="51" t="n">
        <x:v>1.8442964544141773</x:v>
      </x:c>
      <x:c r="E4" s="51" t="n">
        <x:v>0.9847058823529411</x:v>
      </x:c>
      <x:c r="F4" s="51" t="n">
        <x:v>47.727594606317595</x:v>
      </x:c>
      <x:c r="G4" s="50" t="n">
        <x:v>34</x:v>
      </x:c>
    </x:row>
    <x:row r="5">
      <x:c r="A5" s="3" t="n">
        <x:v>2</x:v>
      </x:c>
      <x:c r="B5" s="3" t="str">
        <x:v>Ridge GDP-CPD-M2-inflation-PMI-risk bridge</x:v>
      </x:c>
      <x:c r="C5" s="8" t="n">
        <x:v>2</x:v>
      </x:c>
      <x:c r="D5" s="8" t="n">
        <x:v>1.947550790536819</x:v>
      </x:c>
      <x:c r="E5" s="8" t="n">
        <x:v>1.216763558074943</x:v>
      </x:c>
      <x:c r="F5" s="8" t="n">
        <x:v>65.1666469267382</x:v>
      </x:c>
      <x:c r="G5" s="3" t="n">
        <x:v>34</x:v>
      </x:c>
    </x:row>
    <x:row r="6">
      <x:c r="A6" s="3" t="n">
        <x:v>3</x:v>
      </x:c>
      <x:c r="B6" s="3" t="str">
        <x:v>Ridge GDP-CPD-M2-inflation-PMI-risk bridge</x:v>
      </x:c>
      <x:c r="C6" s="8" t="n">
        <x:v>1</x:v>
      </x:c>
      <x:c r="D6" s="8" t="n">
        <x:v>1.9493709355476048</x:v>
      </x:c>
      <x:c r="E6" s="8" t="n">
        <x:v>1.2167663711013326</x:v>
      </x:c>
      <x:c r="F6" s="8" t="n">
        <x:v>65.78762471937726</x:v>
      </x:c>
      <x:c r="G6" s="3" t="n">
        <x:v>34</x:v>
      </x:c>
    </x:row>
    <x:row r="7">
      <x:c r="A7" s="3" t="n">
        <x:v>4</x:v>
      </x:c>
      <x:c r="B7" s="3" t="str">
        <x:v>Ridge GDP-CPD-M2-inflation-PMI-risk bridge</x:v>
      </x:c>
      <x:c r="C7" s="8" t="n">
        <x:v>0.5</x:v>
      </x:c>
      <x:c r="D7" s="8" t="n">
        <x:v>1.9518755308773417</x:v>
      </x:c>
      <x:c r="E7" s="8" t="n">
        <x:v>1.2164129369383776</x:v>
      </x:c>
      <x:c r="F7" s="8" t="n">
        <x:v>66.10427872465797</x:v>
      </x:c>
      <x:c r="G7" s="3" t="n">
        <x:v>34</x:v>
      </x:c>
    </x:row>
    <x:row r="8">
      <x:c r="A8" s="3" t="n">
        <x:v>5</x:v>
      </x:c>
      <x:c r="B8" s="3" t="str">
        <x:v>Ridge GDP-CPD-M2-inflation-PMI-risk bridge</x:v>
      </x:c>
      <x:c r="C8" s="8" t="n">
        <x:v>5</x:v>
      </x:c>
      <x:c r="D8" s="8" t="n">
        <x:v>1.9544776403060309</x:v>
      </x:c>
      <x:c r="E8" s="8" t="n">
        <x:v>1.2099258087559785</x:v>
      </x:c>
      <x:c r="F8" s="8" t="n">
        <x:v>63.22995386055441</x:v>
      </x:c>
      <x:c r="G8" s="3" t="n">
        <x:v>34</x:v>
      </x:c>
    </x:row>
    <x:row r="9">
      <x:c r="A9" s="3" t="n">
        <x:v>6</x:v>
      </x:c>
      <x:c r="B9" s="3" t="str">
        <x:v>Ridge GDP-CPD-M2-inflation-PMI-risk bridge</x:v>
      </x:c>
      <x:c r="C9" s="8" t="n">
        <x:v>0.1</x:v>
      </x:c>
      <x:c r="D9" s="8" t="n">
        <x:v>1.9549886145382918</x:v>
      </x:c>
      <x:c r="E9" s="8" t="n">
        <x:v>1.2173387114054037</x:v>
      </x:c>
      <x:c r="F9" s="8" t="n">
        <x:v>66.4168840345176</x:v>
      </x:c>
      <x:c r="G9" s="3" t="n">
        <x:v>34</x:v>
      </x:c>
    </x:row>
    <x:row r="10">
      <x:c r="A10" s="3" t="n">
        <x:v>7</x:v>
      </x:c>
      <x:c r="B10" s="3" t="str">
        <x:v>Ridge GDP-CPD-M2-inflation-PMI-risk bridge</x:v>
      </x:c>
      <x:c r="C10" s="8" t="n">
        <x:v>10</x:v>
      </x:c>
      <x:c r="D10" s="8" t="n">
        <x:v>1.9770791128653018</x:v>
      </x:c>
      <x:c r="E10" s="8" t="n">
        <x:v>1.238240348103434</x:v>
      </x:c>
      <x:c r="F10" s="8" t="n">
        <x:v>61.777725124550706</x:v>
      </x:c>
      <x:c r="G10" s="3" t="n">
        <x:v>34</x:v>
      </x:c>
    </x:row>
    <x:row r="11">
      <x:c r="A11" s="3" t="n">
        <x:v>8</x:v>
      </x:c>
      <x:c r="B11" s="3" t="str">
        <x:v>Ridge GDP-CPD-M2-inflation-PMI-risk bridge</x:v>
      </x:c>
      <x:c r="C11" s="8" t="n">
        <x:v>20</x:v>
      </x:c>
      <x:c r="D11" s="8" t="n">
        <x:v>2.0167371979362643</x:v>
      </x:c>
      <x:c r="E11" s="8" t="n">
        <x:v>1.3486747732873134</x:v>
      </x:c>
      <x:c r="F11" s="8" t="n">
        <x:v>61.37969503802368</x:v>
      </x:c>
      <x:c r="G11" s="3" t="n">
        <x:v>34</x:v>
      </x:c>
    </x:row>
    <x:row r="12">
      <x:c r="A12" s="3" t="n">
        <x:v>9</x:v>
      </x:c>
      <x:c r="B12" s="3" t="str">
        <x:v>Ridge GDP-CPD-M2-inflation-PMI-risk bridge</x:v>
      </x:c>
      <x:c r="C12" s="8" t="n">
        <x:v>50</x:v>
      </x:c>
      <x:c r="D12" s="8" t="n">
        <x:v>2.0673013645229315</x:v>
      </x:c>
      <x:c r="E12" s="8" t="n">
        <x:v>1.5063324369886604</x:v>
      </x:c>
      <x:c r="F12" s="8" t="n">
        <x:v>57.416921385638176</x:v>
      </x:c>
      <x:c r="G12" s="3" t="n">
        <x:v>34</x:v>
      </x:c>
    </x:row>
    <x:row r="13">
      <x:c r="A13" s="3" t="n">
        <x:v>10</x:v>
      </x:c>
      <x:c r="B13" s="3" t="str">
        <x:v>Seasonal persistence</x:v>
      </x:c>
      <x:c r="C13" s="8"/>
      <x:c r="D13" s="8" t="n">
        <x:v>3.141413600875362</x:v>
      </x:c>
      <x:c r="E13" s="8" t="n">
        <x:v>1.7808823529411764</x:v>
      </x:c>
      <x:c r="F13" s="8" t="n">
        <x:v>68.41085991896492</x:v>
      </x:c>
      <x:c r="G13" s="3" t="n">
        <x:v>34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4" hidden="0" customWidth="1"/>
    <x:col min="5" max="5" width="20" hidden="0" customWidth="1"/>
  </x:cols>
  <x:sheetData>
    <x:row r="1" ht="34" customHeight="1">
      <x:c r="A1" s="12" t="str">
        <x:v>Selected-Model Backtest</x:v>
      </x:c>
      <x:c r="B1" s="12"/>
      <x:c r="C1" s="12"/>
      <x:c r="D1" s="12"/>
      <x:c r="E1" s="12"/>
    </x:row>
    <x:row r="2" ht="28" customHeight="1">
      <x:c r="A2" s="16" t="str">
        <x:v>Each prediction uses only information available before the predicted quarter.</x:v>
      </x:c>
      <x:c r="B2" s="16"/>
      <x:c r="C2" s="16"/>
      <x:c r="D2" s="16"/>
      <x:c r="E2" s="16"/>
    </x:row>
    <x:row r="3" ht="28" customHeight="1">
      <x:c r="A3" s="6" t="str">
        <x:v>Quarter</x:v>
      </x:c>
      <x:c r="B3" s="6" t="str">
        <x:v>Actual (%)</x:v>
      </x:c>
      <x:c r="C3" s="6" t="str">
        <x:v>Predicted (%)</x:v>
      </x:c>
      <x:c r="D3" s="6" t="str">
        <x:v>Error (pp)</x:v>
      </x:c>
      <x:c r="E3" s="6" t="str">
        <x:v>Absolute error (pp)</x:v>
      </x:c>
    </x:row>
    <x:row r="4">
      <x:c r="A4" s="3" t="str">
        <x:v>2018Q1</x:v>
      </x:c>
      <x:c r="B4" s="8" t="n">
        <x:v>1.95</x:v>
      </x:c>
      <x:c r="C4" s="8" t="n">
        <x:v>3.3526217959583886</x:v>
      </x:c>
      <x:c r="D4" s="8" t="n">
        <x:f>C4-B4</x:f>
        <x:v>1.4026217959583887</x:v>
      </x:c>
      <x:c r="E4" s="8" t="n">
        <x:f>ABS(D4)</x:f>
        <x:v>1.4026217959583887</x:v>
      </x:c>
    </x:row>
    <x:row r="5">
      <x:c r="A5" s="3" t="str">
        <x:v>2018Q2</x:v>
      </x:c>
      <x:c r="B5" s="8" t="n">
        <x:v>1.5</x:v>
      </x:c>
      <x:c r="C5" s="8" t="n">
        <x:v>2.4535572155678373</x:v>
      </x:c>
      <x:c r="D5" s="8" t="n">
        <x:f>C5-B5</x:f>
        <x:v>0.9535572155678373</x:v>
      </x:c>
      <x:c r="E5" s="8" t="n">
        <x:f>ABS(D5)</x:f>
        <x:v>0.9535572155678373</x:v>
      </x:c>
    </x:row>
    <x:row r="6">
      <x:c r="A6" s="3" t="str">
        <x:v>2018Q3</x:v>
      </x:c>
      <x:c r="B6" s="8" t="n">
        <x:v>1.81</x:v>
      </x:c>
      <x:c r="C6" s="8" t="n">
        <x:v>2.3431038114967784</x:v>
      </x:c>
      <x:c r="D6" s="8" t="n">
        <x:f>C6-B6</x:f>
        <x:v>0.5331038114967783</x:v>
      </x:c>
      <x:c r="E6" s="8" t="n">
        <x:f>ABS(D6)</x:f>
        <x:v>0.5331038114967783</x:v>
      </x:c>
    </x:row>
    <x:row r="7">
      <x:c r="A7" s="3" t="str">
        <x:v>2018Q4</x:v>
      </x:c>
      <x:c r="B7" s="8" t="n">
        <x:v>2.3800000000000003</x:v>
      </x:c>
      <x:c r="C7" s="8" t="n">
        <x:v>2.5578048018068165</x:v>
      </x:c>
      <x:c r="D7" s="8" t="n">
        <x:f>C7-B7</x:f>
        <x:v>0.17780480180681613</x:v>
      </x:c>
      <x:c r="E7" s="8" t="n">
        <x:f>ABS(D7)</x:f>
        <x:v>0.17780480180681613</x:v>
      </x:c>
    </x:row>
    <x:row r="8">
      <x:c r="A8" s="3" t="str">
        <x:v>2019Q1</x:v>
      </x:c>
      <x:c r="B8" s="8" t="n">
        <x:v>2.1</x:v>
      </x:c>
      <x:c r="C8" s="8" t="n">
        <x:v>2.9170340069020972</x:v>
      </x:c>
      <x:c r="D8" s="8" t="n">
        <x:f>C8-B8</x:f>
        <x:v>0.8170340069020972</x:v>
      </x:c>
      <x:c r="E8" s="8" t="n">
        <x:f>ABS(D8)</x:f>
        <x:v>0.8170340069020972</x:v>
      </x:c>
    </x:row>
    <x:row r="9">
      <x:c r="A9" s="3" t="str">
        <x:v>2019Q2</x:v>
      </x:c>
      <x:c r="B9" s="8" t="n">
        <x:v>2.12</x:v>
      </x:c>
      <x:c r="C9" s="8" t="n">
        <x:v>2.910504076381992</x:v>
      </x:c>
      <x:c r="D9" s="8" t="n">
        <x:f>C9-B9</x:f>
        <x:v>0.7905040763819917</x:v>
      </x:c>
      <x:c r="E9" s="8" t="n">
        <x:f>ABS(D9)</x:f>
        <x:v>0.7905040763819917</x:v>
      </x:c>
    </x:row>
    <x:row r="10">
      <x:c r="A10" s="3" t="str">
        <x:v>2019Q3</x:v>
      </x:c>
      <x:c r="B10" s="8" t="n">
        <x:v>2.2800000000000002</x:v>
      </x:c>
      <x:c r="C10" s="8" t="n">
        <x:v>3.047571855623287</x:v>
      </x:c>
      <x:c r="D10" s="8" t="n">
        <x:f>C10-B10</x:f>
        <x:v>0.7675718556232867</x:v>
      </x:c>
      <x:c r="E10" s="8" t="n">
        <x:f>ABS(D10)</x:f>
        <x:v>0.7675718556232867</x:v>
      </x:c>
    </x:row>
    <x:row r="11">
      <x:c r="A11" s="3" t="str">
        <x:v>2019Q4</x:v>
      </x:c>
      <x:c r="B11" s="8" t="n">
        <x:v>2.55</x:v>
      </x:c>
      <x:c r="C11" s="8" t="n">
        <x:v>2.8939846004069856</x:v>
      </x:c>
      <x:c r="D11" s="8" t="n">
        <x:f>C11-B11</x:f>
        <x:v>0.34398460040698575</x:v>
      </x:c>
      <x:c r="E11" s="8" t="n">
        <x:f>ABS(D11)</x:f>
        <x:v>0.34398460040698575</x:v>
      </x:c>
    </x:row>
    <x:row r="12">
      <x:c r="A12" s="3" t="str">
        <x:v>2020Q1</x:v>
      </x:c>
      <x:c r="B12" s="8" t="n">
        <x:v>1.87</x:v>
      </x:c>
      <x:c r="C12" s="8" t="n">
        <x:v>3.0905932051351006</x:v>
      </x:c>
      <x:c r="D12" s="8" t="n">
        <x:f>C12-B12</x:f>
        <x:v>1.2205932051351005</x:v>
      </x:c>
      <x:c r="E12" s="8" t="n">
        <x:f>ABS(D12)</x:f>
        <x:v>1.2205932051351005</x:v>
      </x:c>
    </x:row>
    <x:row r="13">
      <x:c r="A13" s="3" t="str">
        <x:v>2020Q2</x:v>
      </x:c>
      <x:c r="B13" s="8" t="n">
        <x:v>-6.1</x:v>
      </x:c>
      <x:c r="C13" s="8" t="n">
        <x:v>0.5266534975851701</x:v>
      </x:c>
      <x:c r="D13" s="8" t="n">
        <x:f>C13-B13</x:f>
        <x:v>6.62665349758517</x:v>
      </x:c>
      <x:c r="E13" s="8" t="n">
        <x:f>ABS(D13)</x:f>
        <x:v>6.62665349758517</x:v>
      </x:c>
    </x:row>
    <x:row r="14">
      <x:c r="A14" s="3" t="str">
        <x:v>2020Q3</x:v>
      </x:c>
      <x:c r="B14" s="8" t="n">
        <x:v>-3.62</x:v>
      </x:c>
      <x:c r="C14" s="8" t="n">
        <x:v>-5.089809948837833</x:v>
      </x:c>
      <x:c r="D14" s="8" t="n">
        <x:f>C14-B14</x:f>
        <x:v>-1.469809948837833</x:v>
      </x:c>
      <x:c r="E14" s="8" t="n">
        <x:f>ABS(D14)</x:f>
        <x:v>1.469809948837833</x:v>
      </x:c>
    </x:row>
    <x:row r="15">
      <x:c r="A15" s="3" t="str">
        <x:v>2020Q4</x:v>
      </x:c>
      <x:c r="B15" s="8" t="n">
        <x:v>0.11</x:v>
      </x:c>
      <x:c r="C15" s="8" t="n">
        <x:v>-3.6707109507603666</x:v>
      </x:c>
      <x:c r="D15" s="8" t="n">
        <x:f>C15-B15</x:f>
        <x:v>-3.7807109507603665</x:v>
      </x:c>
      <x:c r="E15" s="8" t="n">
        <x:f>ABS(D15)</x:f>
        <x:v>3.7807109507603665</x:v>
      </x:c>
    </x:row>
    <x:row r="16">
      <x:c r="A16" s="3" t="str">
        <x:v>2021Q1</x:v>
      </x:c>
      <x:c r="B16" s="8" t="n">
        <x:v>0.51</x:v>
      </x:c>
      <x:c r="C16" s="8" t="n">
        <x:v>-1.608487043560645</x:v>
      </x:c>
      <x:c r="D16" s="8" t="n">
        <x:f>C16-B16</x:f>
        <x:v>-2.118487043560645</x:v>
      </x:c>
      <x:c r="E16" s="8" t="n">
        <x:f>ABS(D16)</x:f>
        <x:v>2.118487043560645</x:v>
      </x:c>
    </x:row>
    <x:row r="17">
      <x:c r="A17" s="3" t="str">
        <x:v>2021Q2</x:v>
      </x:c>
      <x:c r="B17" s="8" t="n">
        <x:v>5.01</x:v>
      </x:c>
      <x:c r="C17" s="8" t="n">
        <x:v>-1.5507769056876632</x:v>
      </x:c>
      <x:c r="D17" s="8" t="n">
        <x:f>C17-B17</x:f>
        <x:v>-6.560776905687663</x:v>
      </x:c>
      <x:c r="E17" s="8" t="n">
        <x:f>ABS(D17)</x:f>
        <x:v>6.560776905687663</x:v>
      </x:c>
    </x:row>
    <x:row r="18">
      <x:c r="A18" s="3" t="str">
        <x:v>2021Q3</x:v>
      </x:c>
      <x:c r="B18" s="8" t="n">
        <x:v>4.03</x:v>
      </x:c>
      <x:c r="C18" s="8" t="n">
        <x:v>2.23497190710657</x:v>
      </x:c>
      <x:c r="D18" s="8" t="n">
        <x:f>C18-B18</x:f>
        <x:v>-1.7950280928934301</x:v>
      </x:c>
      <x:c r="E18" s="8" t="n">
        <x:f>ABS(D18)</x:f>
        <x:v>1.7950280928934301</x:v>
      </x:c>
    </x:row>
    <x:row r="19">
      <x:c r="A19" s="3" t="str">
        <x:v>2021Q4</x:v>
      </x:c>
      <x:c r="B19" s="8" t="n">
        <x:v>3.9800000000000004</x:v>
      </x:c>
      <x:c r="C19" s="8" t="n">
        <x:v>2.515417678479537</x:v>
      </x:c>
      <x:c r="D19" s="8" t="n">
        <x:f>C19-B19</x:f>
        <x:v>-1.4645823215204636</x:v>
      </x:c>
      <x:c r="E19" s="8" t="n">
        <x:f>ABS(D19)</x:f>
        <x:v>1.4645823215204636</x:v>
      </x:c>
    </x:row>
    <x:row r="20">
      <x:c r="A20" s="3" t="str">
        <x:v>2022Q1</x:v>
      </x:c>
      <x:c r="B20" s="8" t="n">
        <x:v>3.11</x:v>
      </x:c>
      <x:c r="C20" s="8" t="n">
        <x:v>2.6253571908785815</x:v>
      </x:c>
      <x:c r="D20" s="8" t="n">
        <x:f>C20-B20</x:f>
        <x:v>-0.4846428091214183</x:v>
      </x:c>
      <x:c r="E20" s="8" t="n">
        <x:f>ABS(D20)</x:f>
        <x:v>0.4846428091214183</x:v>
      </x:c>
    </x:row>
    <x:row r="21">
      <x:c r="A21" s="3" t="str">
        <x:v>2022Q2</x:v>
      </x:c>
      <x:c r="B21" s="8" t="n">
        <x:v>3.54</x:v>
      </x:c>
      <x:c r="C21" s="8" t="n">
        <x:v>2.1765118861055117</x:v>
      </x:c>
      <x:c r="D21" s="8" t="n">
        <x:f>C21-B21</x:f>
        <x:v>-1.3634881138944883</x:v>
      </x:c>
      <x:c r="E21" s="8" t="n">
        <x:f>ABS(D21)</x:f>
        <x:v>1.3634881138944883</x:v>
      </x:c>
    </x:row>
    <x:row r="22">
      <x:c r="A22" s="3" t="str">
        <x:v>2022Q3</x:v>
      </x:c>
      <x:c r="B22" s="8" t="n">
        <x:v>2.25</x:v>
      </x:c>
      <x:c r="C22" s="8" t="n">
        <x:v>2.684549805023243</x:v>
      </x:c>
      <x:c r="D22" s="8" t="n">
        <x:f>C22-B22</x:f>
        <x:v>0.4345498050232428</x:v>
      </x:c>
      <x:c r="E22" s="8" t="n">
        <x:f>ABS(D22)</x:f>
        <x:v>0.4345498050232428</x:v>
      </x:c>
    </x:row>
    <x:row r="23">
      <x:c r="A23" s="3" t="str">
        <x:v>2022Q4</x:v>
      </x:c>
      <x:c r="B23" s="8" t="n">
        <x:v>3.52</x:v>
      </x:c>
      <x:c r="C23" s="8" t="n">
        <x:v>2.1826515666723596</x:v>
      </x:c>
      <x:c r="D23" s="8" t="n">
        <x:f>C23-B23</x:f>
        <x:v>-1.3373484333276404</x:v>
      </x:c>
      <x:c r="E23" s="8" t="n">
        <x:f>ABS(D23)</x:f>
        <x:v>1.3373484333276404</x:v>
      </x:c>
    </x:row>
    <x:row r="24">
      <x:c r="A24" s="3" t="str">
        <x:v>2023Q1</x:v>
      </x:c>
      <x:c r="B24" s="8" t="n">
        <x:v>2.31</x:v>
      </x:c>
      <x:c r="C24" s="8" t="n">
        <x:v>2.9650809850996445</x:v>
      </x:c>
      <x:c r="D24" s="8" t="n">
        <x:f>C24-B24</x:f>
        <x:v>0.6550809850996444</x:v>
      </x:c>
      <x:c r="E24" s="8" t="n">
        <x:f>ABS(D24)</x:f>
        <x:v>0.6550809850996444</x:v>
      </x:c>
    </x:row>
    <x:row r="25">
      <x:c r="A25" s="3" t="str">
        <x:v>2023Q2</x:v>
      </x:c>
      <x:c r="B25" s="8" t="n">
        <x:v>2.5100000000000002</x:v>
      </x:c>
      <x:c r="C25" s="8" t="n">
        <x:v>3.0298462778030477</x:v>
      </x:c>
      <x:c r="D25" s="8" t="n">
        <x:f>C25-B25</x:f>
        <x:v>0.5198462778030475</x:v>
      </x:c>
      <x:c r="E25" s="8" t="n">
        <x:f>ABS(D25)</x:f>
        <x:v>0.5198462778030475</x:v>
      </x:c>
    </x:row>
    <x:row r="26">
      <x:c r="A26" s="3" t="str">
        <x:v>2023Q3</x:v>
      </x:c>
      <x:c r="B26" s="8" t="n">
        <x:v>2.54</x:v>
      </x:c>
      <x:c r="C26" s="8" t="n">
        <x:v>2.423860686757635</x:v>
      </x:c>
      <x:c r="D26" s="8" t="n">
        <x:f>C26-B26</x:f>
        <x:v>-0.11613931324236493</x:v>
      </x:c>
      <x:c r="E26" s="8" t="n">
        <x:f>ABS(D26)</x:f>
        <x:v>0.11613931324236493</x:v>
      </x:c>
    </x:row>
    <x:row r="27">
      <x:c r="A27" s="3" t="str">
        <x:v>2023Q4</x:v>
      </x:c>
      <x:c r="B27" s="8" t="n">
        <x:v>3.46</x:v>
      </x:c>
      <x:c r="C27" s="8" t="n">
        <x:v>3.224011471724743</x:v>
      </x:c>
      <x:c r="D27" s="8" t="n">
        <x:f>C27-B27</x:f>
        <x:v>-0.23598852827525718</x:v>
      </x:c>
      <x:c r="E27" s="8" t="n">
        <x:f>ABS(D27)</x:f>
        <x:v>0.23598852827525718</x:v>
      </x:c>
    </x:row>
    <x:row r="28">
      <x:c r="A28" s="3" t="str">
        <x:v>2024Q1</x:v>
      </x:c>
      <x:c r="B28" s="8" t="n">
        <x:v>2.98</x:v>
      </x:c>
      <x:c r="C28" s="8" t="n">
        <x:v>3.355154927411697</x:v>
      </x:c>
      <x:c r="D28" s="8" t="n">
        <x:f>C28-B28</x:f>
        <x:v>0.375154927411697</x:v>
      </x:c>
      <x:c r="E28" s="8" t="n">
        <x:f>ABS(D28)</x:f>
        <x:v>0.375154927411697</x:v>
      </x:c>
    </x:row>
    <x:row r="29">
      <x:c r="A29" s="3" t="str">
        <x:v>2024Q2</x:v>
      </x:c>
      <x:c r="B29" s="8" t="n">
        <x:v>3.19</x:v>
      </x:c>
      <x:c r="C29" s="8" t="n">
        <x:v>4.178161304568974</x:v>
      </x:c>
      <x:c r="D29" s="8" t="n">
        <x:f>C29-B29</x:f>
        <x:v>0.9881613045689739</x:v>
      </x:c>
      <x:c r="E29" s="8" t="n">
        <x:f>ABS(D29)</x:f>
        <x:v>0.9881613045689739</x:v>
      </x:c>
    </x:row>
    <x:row r="30">
      <x:c r="A30" s="3" t="str">
        <x:v>2024Q3</x:v>
      </x:c>
      <x:c r="B30" s="8" t="n">
        <x:v>3.8600000000000003</x:v>
      </x:c>
      <x:c r="C30" s="8" t="n">
        <x:v>4.287356724953352</x:v>
      </x:c>
      <x:c r="D30" s="8" t="n">
        <x:f>C30-B30</x:f>
        <x:v>0.4273567249533521</x:v>
      </x:c>
      <x:c r="E30" s="8" t="n">
        <x:f>ABS(D30)</x:f>
        <x:v>0.4273567249533521</x:v>
      </x:c>
    </x:row>
    <x:row r="31">
      <x:c r="A31" s="3" t="str">
        <x:v>2024Q4</x:v>
      </x:c>
      <x:c r="B31" s="8" t="n">
        <x:v>3.84</x:v>
      </x:c>
      <x:c r="C31" s="8" t="n">
        <x:v>4.65640642610325</x:v>
      </x:c>
      <x:c r="D31" s="8" t="n">
        <x:f>C31-B31</x:f>
        <x:v>0.8164064261032502</x:v>
      </x:c>
      <x:c r="E31" s="8" t="n">
        <x:f>ABS(D31)</x:f>
        <x:v>0.8164064261032502</x:v>
      </x:c>
    </x:row>
    <x:row r="32">
      <x:c r="A32" s="3" t="str">
        <x:v>2025Q1</x:v>
      </x:c>
      <x:c r="B32" s="8" t="n">
        <x:v>3.1300000000000003</x:v>
      </x:c>
      <x:c r="C32" s="8" t="n">
        <x:v>4.122846584838431</x:v>
      </x:c>
      <x:c r="D32" s="8" t="n">
        <x:f>C32-B32</x:f>
        <x:v>0.9928465848384307</x:v>
      </x:c>
      <x:c r="E32" s="8" t="n">
        <x:f>ABS(D32)</x:f>
        <x:v>0.9928465848384307</x:v>
      </x:c>
    </x:row>
    <x:row r="33">
      <x:c r="A33" s="3" t="str">
        <x:v>2025Q2</x:v>
      </x:c>
      <x:c r="B33" s="8" t="n">
        <x:v>4.2299999999999995</x:v>
      </x:c>
      <x:c r="C33" s="8" t="n">
        <x:v>3.5775720788139673</x:v>
      </x:c>
      <x:c r="D33" s="8" t="n">
        <x:f>C33-B33</x:f>
        <x:v>-0.6524279211860322</x:v>
      </x:c>
      <x:c r="E33" s="8" t="n">
        <x:f>ABS(D33)</x:f>
        <x:v>0.6524279211860322</x:v>
      </x:c>
    </x:row>
    <x:row r="34">
      <x:c r="A34" s="3" t="str">
        <x:v>2025Q3</x:v>
      </x:c>
      <x:c r="B34" s="8" t="n">
        <x:v>3.9800000000000004</x:v>
      </x:c>
      <x:c r="C34" s="8" t="n">
        <x:v>4.214632092187782</x:v>
      </x:c>
      <x:c r="D34" s="8" t="n">
        <x:f>C34-B34</x:f>
        <x:v>0.23463209218778136</x:v>
      </x:c>
      <x:c r="E34" s="8" t="n">
        <x:f>ABS(D34)</x:f>
        <x:v>0.23463209218778136</x:v>
      </x:c>
    </x:row>
    <x:row r="35">
      <x:c r="A35" s="3" t="str">
        <x:v>2025Q4</x:v>
      </x:c>
      <x:c r="B35" s="8" t="n">
        <x:v>4.07</x:v>
      </x:c>
      <x:c r="C35" s="8" t="n">
        <x:v>4.0933032804668565</x:v>
      </x:c>
      <x:c r="D35" s="8" t="n">
        <x:f>C35-B35</x:f>
        <x:v>0.023303280466856258</x:v>
      </x:c>
      <x:c r="E35" s="8" t="n">
        <x:f>ABS(D35)</x:f>
        <x:v>0.023303280466856258</x:v>
      </x:c>
    </x:row>
    <x:row r="36">
      <x:c r="A36" s="3" t="str">
        <x:v>2026Q1</x:v>
      </x:c>
      <x:c r="B36" s="8" t="n">
        <x:v>3.8899999999999997</x:v>
      </x:c>
      <x:c r="C36" s="8" t="n">
        <x:v>3.920393094534628</x:v>
      </x:c>
      <x:c r="D36" s="8" t="n">
        <x:f>C36-B36</x:f>
        <x:v>0.03039309453462824</x:v>
      </x:c>
      <x:c r="E36" s="8" t="n">
        <x:f>ABS(D36)</x:f>
        <x:v>0.03039309453462824</x:v>
      </x:c>
    </x:row>
    <x:row r="37">
      <x:c r="A37" s="3" t="str">
        <x:v>2026Q2</x:v>
      </x:c>
      <x:c r="B37" s="8" t="n">
        <x:v>4.43</x:v>
      </x:c>
      <x:c r="C37" s="8" t="n">
        <x:v>3.5706297776148976</x:v>
      </x:c>
      <x:c r="D37" s="8" t="n">
        <x:f>C37-B37</x:f>
        <x:v>-0.8593702223851021</x:v>
      </x:c>
      <x:c r="E37" s="8" t="n">
        <x:f>ABS(D37)</x:f>
        <x:v>0.8593702223851021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c9003688f0f94ff1"/>
</x:worksheet>
</file>

<file path=xl/worksheets/sheet5.xml><?xml version="1.0" encoding="utf-8"?>
<x:worksheet xmlns:x="http://schemas.openxmlformats.org/spreadsheetml/2006/main">
  <x:sheetPr>
    <x:tabColor rgb="FFD9A44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34" hidden="0" customWidth="1"/>
    <x:col min="8" max="8" width="22" hidden="0" customWidth="1"/>
  </x:cols>
  <x:sheetData>
    <x:row r="1" ht="34" customHeight="1">
      <x:c r="A1" s="12" t="str">
        <x:v>Selected Model Engine</x:v>
      </x:c>
      <x:c r="B1" s="12"/>
      <x:c r="C1" s="12"/>
      <x:c r="D1" s="12"/>
      <x:c r="E1" s="12"/>
      <x:c r="F1" s="12"/>
      <x:c r="G1" s="12"/>
      <x:c r="H1" s="12"/>
    </x:row>
    <x:row r="2" ht="28" customHeight="1">
      <x:c r="A2" s="16" t="str">
        <x:v>Ridge GDP-CPD-M2-inflation-PMI-risk bridge, ridge alpha 2; current macro vintage 2026Q3 available-month averages.</x:v>
      </x:c>
      <x:c r="B2" s="16"/>
      <x:c r="C2" s="16"/>
      <x:c r="D2" s="16"/>
      <x:c r="E2" s="16"/>
      <x:c r="F2" s="16"/>
      <x:c r="G2" s="16"/>
      <x:c r="H2" s="16"/>
    </x:row>
    <x:row r="3" ht="28" customHeight="1">
      <x:c r="A3" s="6" t="str">
        <x:v>Term</x:v>
      </x:c>
      <x:c r="B3" s="6" t="str">
        <x:v>Current/raw</x:v>
      </x:c>
      <x:c r="C3" s="6" t="str">
        <x:v>Training mean</x:v>
      </x:c>
      <x:c r="D3" s="6" t="str">
        <x:v>Training std. dev.</x:v>
      </x:c>
      <x:c r="E3" s="6" t="str">
        <x:v>Standardized coefficient</x:v>
      </x:c>
      <x:c r="F3" s="6" t="str">
        <x:v>Contribution</x:v>
      </x:c>
      <x:c r="G3" s="6" t="str">
        <x:v>Forecast component</x:v>
      </x:c>
      <x:c r="H3" s="6" t="str">
        <x:v>Value</x:v>
      </x:c>
    </x:row>
    <x:row r="4">
      <x:c r="A4" s="3" t="str">
        <x:v>Intercept</x:v>
      </x:c>
      <x:c r="B4" s="21"/>
      <x:c r="C4" s="21"/>
      <x:c r="D4" s="21"/>
      <x:c r="E4" s="21" t="n">
        <x:v>3.113636363636364</x:v>
      </x:c>
      <x:c r="F4" s="21" t="n">
        <x:f>E4</x:f>
        <x:v>3.113636363636364</x:v>
      </x:c>
      <x:c r="G4" s="3" t="str">
        <x:v>Joint ridge-equation forecast</x:v>
      </x:c>
      <x:c r="H4" s="21" t="n">
        <x:f>SUM(F4:F9)</x:f>
        <x:v>4.239735684928249</x:v>
      </x:c>
    </x:row>
    <x:row r="5">
      <x:c r="A5" s="3" t="str">
        <x:v>gdp_lag1</x:v>
      </x:c>
      <x:c r="B5" s="21" t="n">
        <x:v>4.43</x:v>
      </x:c>
      <x:c r="C5" s="21" t="n">
        <x:v>3.098939393939393</x:v>
      </x:c>
      <x:c r="D5" s="21" t="n">
        <x:v>2.6314986678224153</x:v>
      </x:c>
      <x:c r="E5" s="21" t="n">
        <x:v>1.9402898335540752</x:v>
      </x:c>
      <x:c r="F5" s="21" t="n">
        <x:f>E5*((B5-C5)/D5)</x:f>
        <x:v>0.9814344173394081</x:v>
      </x:c>
      <x:c r="G5" s="3" t="str">
        <x:v>Current PMI (available-month avg.)</x:v>
      </x:c>
      <x:c r="H5" s="21" t="n">
        <x:f>AVERAGE('Monthly Inputs'!L320,'Monthly Inputs'!L321)</x:f>
        <x:v>51.900000000000006</x:v>
      </x:c>
    </x:row>
    <x:row r="6">
      <x:c r="A6" s="3" t="str">
        <x:v>headline_yoy</x:v>
      </x:c>
      <x:c r="B6" s="21" t="n">
        <x:v>15.454906634882803</x:v>
      </x:c>
      <x:c r="C6" s="21" t="n">
        <x:v>15.617683607828836</x:v>
      </x:c>
      <x:c r="D6" s="21" t="n">
        <x:v>6.661668909995911</x:v>
      </x:c>
      <x:c r="E6" s="21" t="n">
        <x:v>0.48009982075552643</x:v>
      </x:c>
      <x:c r="F6" s="21" t="n">
        <x:f>E6*((B6-C6)/D6)</x:f>
        <x:v>-0.011731173762967036</x:v>
      </x:c>
      <x:c r="G6" s="3" t="str">
        <x:v>PMI training mean</x:v>
      </x:c>
      <x:c r="H6" s="21" t="n">
        <x:v>50.716712835468385</x:v>
      </x:c>
    </x:row>
    <x:row r="7">
      <x:c r="A7" s="3" t="str">
        <x:v>cpd</x:v>
      </x:c>
      <x:c r="B7" s="21" t="n">
        <x:v>1.51</x:v>
      </x:c>
      <x:c r="C7" s="21" t="n">
        <x:v>1.8490268085101653</x:v>
      </x:c>
      <x:c r="D7" s="21" t="n">
        <x:v>0.4155054353771861</x:v>
      </x:c>
      <x:c r="E7" s="21" t="n">
        <x:v>0.4327838354925565</x:v>
      </x:c>
      <x:c r="F7" s="21" t="n">
        <x:f>E7*((B7-C7)/D7)</x:f>
        <x:v>-0.3531249173398563</x:v>
      </x:c>
      <x:c r="G7" s="3" t="str">
        <x:v>PMI standardized coefficient</x:v>
      </x:c>
      <x:c r="H7" s="21" t="n">
        <x:v>0.3806337590433819</x:v>
      </x:c>
    </x:row>
    <x:row r="8">
      <x:c r="A8" s="3" t="str">
        <x:v>pmi</x:v>
      </x:c>
      <x:c r="B8" s="21" t="n">
        <x:v>51.900000000000006</x:v>
      </x:c>
      <x:c r="C8" s="21" t="n">
        <x:v>50.716712835468385</x:v>
      </x:c>
      <x:c r="D8" s="21" t="n">
        <x:v>3.8514997249432437</x:v>
      </x:c>
      <x:c r="E8" s="21" t="n">
        <x:v>0.3806337590433819</x:v>
      </x:c>
      <x:c r="F8" s="21" t="n">
        <x:f>E8*((B8-C8)/D8)</x:f>
        <x:v>0.11694121086042465</x:v>
      </x:c>
      <x:c r="G8" s="3" t="str">
        <x:v>PMI included in equation</x:v>
      </x:c>
      <x:c r="H8" s="3" t="str">
        <x:v>Yes</x:v>
      </x:c>
    </x:row>
    <x:row r="9">
      <x:c r="A9" s="3" t="str">
        <x:v>m2_mom</x:v>
      </x:c>
      <x:c r="B9" s="21" t="n">
        <x:v>7.389340316256909</x:v>
      </x:c>
      <x:c r="C9" s="21" t="n">
        <x:v>1.1236902862257485</x:v>
      </x:c>
      <x:c r="D9" s="21" t="n">
        <x:v>1.9599463663561794</x:v>
      </x:c>
      <x:c r="E9" s="21" t="n">
        <x:v>0.12280215426168815</x:v>
      </x:c>
      <x:c r="F9" s="21" t="n">
        <x:f>E9*((B9-C9)/D9)</x:f>
        <x:v>0.3925797841948746</x:v>
      </x:c>
      <x:c r="G9" s="3" t="str">
        <x:v>Statistical estimate before override</x:v>
      </x:c>
      <x:c r="H9" s="21" t="n">
        <x:v>4.239735684928249</x:v>
      </x:c>
    </x:row>
    <x:row r="10" ht="34" customHeight="1">
      <x:c r="G10" s="3" t="str">
        <x:v>PMI treatment</x:v>
      </x:c>
      <x:c r="H10" s="38" t="str">
        <x:v>Joint regression coefficient</x:v>
      </x:c>
    </x:row>
    <x:row r="11">
      <x:c r="G11" s="27" t="str">
        <x:v>CAPE monitoring estimate</x:v>
      </x:c>
      <x:c r="H11" s="28" t="n">
        <x:v>4.239735684928249</x:v>
      </x:c>
    </x:row>
    <x:row r="12">
      <x:c r="G12" s="3" t="str">
        <x:v>Separate PMI overlay</x:v>
      </x:c>
      <x:c r="H12" s="21" t="str">
        <x:v>Not used</x:v>
      </x:c>
    </x:row>
    <x:row r="13">
      <x:c r="G13" s="3" t="str">
        <x:v>Lower model-error width</x:v>
      </x:c>
      <x:c r="H13" s="21" t="n">
        <x:v>0.9914410007575936</x:v>
      </x:c>
    </x:row>
    <x:row r="14">
      <x:c r="G14" s="3" t="str">
        <x:v>Upper model-error width</x:v>
      </x:c>
      <x:c r="H14" s="21" t="n">
        <x:v>1.6974626496767513</x:v>
      </x:c>
    </x:row>
    <x:row r="15">
      <x:c r="G15" s="3" t="str">
        <x:v>Backtest RMSE</x:v>
      </x:c>
      <x:c r="H15" s="21" t="n">
        <x:v>1.947550790536819</x:v>
      </x:c>
    </x:row>
    <x:row r="16">
      <x:c r="G16" s="35" t="str">
        <x:v>Published range lower</x:v>
      </x:c>
      <x:c r="H16" s="36" t="n">
        <x:v>4.34</x:v>
      </x:c>
    </x:row>
    <x:row r="17">
      <x:c r="G17" s="35" t="str">
        <x:v>Published range upper</x:v>
      </x:c>
      <x:c r="H17" s="36" t="n">
        <x:v>4.5</x:v>
      </x:c>
    </x:row>
    <x:row r="18">
      <x:c r="G18" s="35" t="str">
        <x:v>Complete target-quarter months</x:v>
      </x:c>
      <x:c r="H18" s="37" t="n">
        <x:v>1</x:v>
      </x:c>
    </x:row>
    <x:row r="19">
      <x:c r="G19" s="35" t="str">
        <x:v>PMI months available</x:v>
      </x:c>
      <x:c r="H19" s="37" t="n">
        <x:v>2</x:v>
      </x:c>
    </x:row>
    <x:row r="20">
      <x:c r="G20" s="35" t="str">
        <x:v>Release mode</x:v>
      </x:c>
      <x:c r="H20" s="35" t="str">
        <x:v>Indicative range</x:v>
      </x:c>
    </x:row>
    <x:row r="21" ht="54" customHeight="1">
      <x:c r="G21" s="3" t="str">
        <x:v>Required monthly inputs</x:v>
      </x:c>
      <x:c r="H21" s="38" t="str">
        <x:v>Headline inflation, M2, Crude oil production (CPD), PMI, Inflation risk</x:v>
      </x:c>
    </x:row>
    <x:row r="22" ht="24" customHeight="1">
      <x:c r="G22" s="3" t="str">
        <x:v>Complete historical PMI quarters</x:v>
      </x:c>
      <x:c r="H22" s="22" t="n">
        <x:v>48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F6B6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13" hidden="0" customWidth="1"/>
    <x:col min="7" max="7" width="12" hidden="0" customWidth="1"/>
    <x:col min="8" max="8" width="15" hidden="0" customWidth="1"/>
    <x:col min="9" max="9" width="15" hidden="0" customWidth="1"/>
    <x:col min="10" max="10" width="10" hidden="0" customWidth="1"/>
    <x:col min="11" max="11" width="14" hidden="0" customWidth="1"/>
    <x:col min="12" max="12" width="10" hidden="0" customWidth="1"/>
    <x:col min="13" max="13" width="32" hidden="0" customWidth="1"/>
  </x:cols>
  <x:sheetData>
    <x:row r="1" ht="28" customHeight="1">
      <x:c r="A1" s="6" t="str">
        <x:v>Month</x:v>
      </x:c>
      <x:c r="B1" s="6" t="str">
        <x:v>HCPI</x:v>
      </x:c>
      <x:c r="C1" s="6" t="str">
        <x:v>Core CPI</x:v>
      </x:c>
      <x:c r="D1" s="6" t="str">
        <x:v>Food CPI</x:v>
      </x:c>
      <x:c r="E1" s="6" t="str">
        <x:v>MPR</x:v>
      </x:c>
      <x:c r="F1" s="6" t="str">
        <x:v>BDC FX</x:v>
      </x:c>
      <x:c r="G1" s="6" t="str">
        <x:v>Crude oil</x:v>
      </x:c>
      <x:c r="H1" s="6" t="str">
        <x:v>M2</x:v>
      </x:c>
      <x:c r="I1" s="6" t="str">
        <x:v>CPS</x:v>
      </x:c>
      <x:c r="J1" s="6" t="str">
        <x:v>CPD</x:v>
      </x:c>
      <x:c r="K1" s="6" t="str">
        <x:v>Inflation risk</x:v>
      </x:c>
      <x:c r="L1" s="6" t="str">
        <x:v>PMI</x:v>
      </x:c>
      <x:c r="M1" s="6" t="str">
        <x:v>PMI status</x:v>
      </x:c>
    </x:row>
    <x:row r="2">
      <x:c r="A2" s="7" t="n">
        <x:v>36526</x:v>
      </x:c>
      <x:c r="B2" s="8"/>
      <x:c r="C2" s="8"/>
      <x:c r="D2" s="8"/>
      <x:c r="E2" s="8" t="n">
        <x:v>18</x:v>
      </x:c>
      <x:c r="F2" s="8" t="n">
        <x:v>104.31</x:v>
      </x:c>
      <x:c r="G2" s="8" t="n">
        <x:v>25.41</x:v>
      </x:c>
      <x:c r="H2" s="9" t="n">
        <x:v>648506.5859</x:v>
      </x:c>
      <x:c r="I2" s="9" t="n">
        <x:v>440872.2767723</x:v>
      </x:c>
      <x:c r="J2" s="8" t="n">
        <x:v>2.219551225806452</x:v>
      </x:c>
      <x:c r="K2" s="8"/>
      <x:c r="L2" s="8"/>
      <x:c r="M2" s="3" t="str">
        <x:v>Not available</x:v>
      </x:c>
    </x:row>
    <x:row r="3">
      <x:c r="A3" s="7" t="n">
        <x:v>36557</x:v>
      </x:c>
      <x:c r="B3" s="8"/>
      <x:c r="C3" s="8"/>
      <x:c r="D3" s="8"/>
      <x:c r="E3" s="8" t="n">
        <x:v>18</x:v>
      </x:c>
      <x:c r="F3" s="8" t="n">
        <x:v>105.91</x:v>
      </x:c>
      <x:c r="G3" s="8" t="n">
        <x:v>28.36</x:v>
      </x:c>
      <x:c r="H3" s="9" t="n">
        <x:v>722772.3642</x:v>
      </x:c>
      <x:c r="I3" s="9" t="n">
        <x:v>464643.20282480994</x:v>
      </x:c>
      <x:c r="J3" s="8" t="n">
        <x:v>2.32839225</x:v>
      </x:c>
      <x:c r="K3" s="8"/>
      <x:c r="L3" s="8"/>
      <x:c r="M3" s="3" t="str">
        <x:v>Not available</x:v>
      </x:c>
    </x:row>
    <x:row r="4">
      <x:c r="A4" s="7" t="n">
        <x:v>36586</x:v>
      </x:c>
      <x:c r="B4" s="8"/>
      <x:c r="C4" s="8"/>
      <x:c r="D4" s="8"/>
      <x:c r="E4" s="8" t="n">
        <x:v>18</x:v>
      </x:c>
      <x:c r="F4" s="8" t="n">
        <x:v>106.4</x:v>
      </x:c>
      <x:c r="G4" s="8" t="n">
        <x:v>27.54</x:v>
      </x:c>
      <x:c r="H4" s="9" t="n">
        <x:v>795529.0155</x:v>
      </x:c>
      <x:c r="I4" s="9" t="n">
        <x:v>478189.63733725995</x:v>
      </x:c>
      <x:c r="J4" s="8" t="n">
        <x:v>2.2636770967741935</x:v>
      </x:c>
      <x:c r="K4" s="8"/>
      <x:c r="L4" s="8"/>
      <x:c r="M4" s="3" t="str">
        <x:v>Not available</x:v>
      </x:c>
    </x:row>
    <x:row r="5">
      <x:c r="A5" s="7" t="n">
        <x:v>36617</x:v>
      </x:c>
      <x:c r="B5" s="8"/>
      <x:c r="C5" s="8"/>
      <x:c r="D5" s="8"/>
      <x:c r="E5" s="8" t="n">
        <x:v>18</x:v>
      </x:c>
      <x:c r="F5" s="8" t="n">
        <x:v>106.14</x:v>
      </x:c>
      <x:c r="G5" s="8" t="n">
        <x:v>22.91</x:v>
      </x:c>
      <x:c r="H5" s="9" t="n">
        <x:v>801187.8257</x:v>
      </x:c>
      <x:c r="I5" s="9" t="n">
        <x:v>499596.6310973401</x:v>
      </x:c>
      <x:c r="J5" s="8" t="n">
        <x:v>2.175312266666667</x:v>
      </x:c>
      <x:c r="K5" s="8"/>
      <x:c r="L5" s="8"/>
      <x:c r="M5" s="3" t="str">
        <x:v>Not available</x:v>
      </x:c>
    </x:row>
    <x:row r="6">
      <x:c r="A6" s="7" t="n">
        <x:v>36647</x:v>
      </x:c>
      <x:c r="B6" s="8"/>
      <x:c r="C6" s="8"/>
      <x:c r="D6" s="8"/>
      <x:c r="E6" s="8" t="n">
        <x:v>17</x:v>
      </x:c>
      <x:c r="F6" s="8" t="n">
        <x:v>105.85</x:v>
      </x:c>
      <x:c r="G6" s="8" t="n">
        <x:v>27.87</x:v>
      </x:c>
      <x:c r="H6" s="9" t="n">
        <x:v>808090.4819</x:v>
      </x:c>
      <x:c r="I6" s="9" t="n">
        <x:v>504163.25047989003</x:v>
      </x:c>
      <x:c r="J6" s="8" t="n">
        <x:v>2.094685709677419</x:v>
      </x:c>
      <x:c r="K6" s="8"/>
      <x:c r="L6" s="8"/>
      <x:c r="M6" s="3" t="str">
        <x:v>Not available</x:v>
      </x:c>
    </x:row>
    <x:row r="7">
      <x:c r="A7" s="7" t="n">
        <x:v>36678</x:v>
      </x:c>
      <x:c r="B7" s="8"/>
      <x:c r="C7" s="8"/>
      <x:c r="D7" s="8"/>
      <x:c r="E7" s="8" t="n">
        <x:v>17</x:v>
      </x:c>
      <x:c r="F7" s="8" t="n">
        <x:v>106.53</x:v>
      </x:c>
      <x:c r="G7" s="8" t="n">
        <x:v>29.86</x:v>
      </x:c>
      <x:c r="H7" s="9" t="n">
        <x:v>904153.9653</x:v>
      </x:c>
      <x:c r="I7" s="9" t="n">
        <x:v>522327.8034691801</x:v>
      </x:c>
      <x:c r="J7" s="8" t="n">
        <x:v>2.1696948333333332</x:v>
      </x:c>
      <x:c r="K7" s="8"/>
      <x:c r="L7" s="8"/>
      <x:c r="M7" s="3" t="str">
        <x:v>Not available</x:v>
      </x:c>
    </x:row>
    <x:row r="8">
      <x:c r="A8" s="7" t="n">
        <x:v>36708</x:v>
      </x:c>
      <x:c r="B8" s="8"/>
      <x:c r="C8" s="8"/>
      <x:c r="D8" s="8"/>
      <x:c r="E8" s="8" t="n">
        <x:v>17</x:v>
      </x:c>
      <x:c r="F8" s="8" t="n">
        <x:v>111.78</x:v>
      </x:c>
      <x:c r="G8" s="8" t="n">
        <x:v>28.75</x:v>
      </x:c>
      <x:c r="H8" s="9" t="n">
        <x:v>942642.4338</x:v>
      </x:c>
      <x:c r="I8" s="9" t="n">
        <x:v>546256.1270274499</x:v>
      </x:c>
      <x:c r="J8" s="8" t="n">
        <x:v>2.242300322580645</x:v>
      </x:c>
      <x:c r="K8" s="8"/>
      <x:c r="L8" s="8"/>
      <x:c r="M8" s="3" t="str">
        <x:v>Not available</x:v>
      </x:c>
    </x:row>
    <x:row r="9">
      <x:c r="A9" s="7" t="n">
        <x:v>36739</x:v>
      </x:c>
      <x:c r="B9" s="8"/>
      <x:c r="C9" s="8"/>
      <x:c r="D9" s="8"/>
      <x:c r="E9" s="8" t="n">
        <x:v>16</x:v>
      </x:c>
      <x:c r="F9" s="8" t="n">
        <x:v>114.05</x:v>
      </x:c>
      <x:c r="G9" s="8" t="n">
        <x:v>29.06</x:v>
      </x:c>
      <x:c r="H9" s="9" t="n">
        <x:v>948756.8434</x:v>
      </x:c>
      <x:c r="I9" s="9" t="n">
        <x:v>566741.1190609501</x:v>
      </x:c>
      <x:c r="J9" s="8" t="n">
        <x:v>2.373366935483871</x:v>
      </x:c>
      <x:c r="K9" s="8"/>
      <x:c r="L9" s="8"/>
      <x:c r="M9" s="3" t="str">
        <x:v>Not available</x:v>
      </x:c>
    </x:row>
    <x:row r="10">
      <x:c r="A10" s="7" t="n">
        <x:v>36770</x:v>
      </x:c>
      <x:c r="B10" s="8"/>
      <x:c r="C10" s="8"/>
      <x:c r="D10" s="8"/>
      <x:c r="E10" s="8" t="n">
        <x:v>16</x:v>
      </x:c>
      <x:c r="F10" s="8" t="n">
        <x:v>119</x:v>
      </x:c>
      <x:c r="G10" s="8" t="n">
        <x:v>32.65</x:v>
      </x:c>
      <x:c r="H10" s="9" t="n">
        <x:v>962743.7735</x:v>
      </x:c>
      <x:c r="I10" s="9" t="n">
        <x:v>564206.19216974</x:v>
      </x:c>
      <x:c r="J10" s="8" t="n">
        <x:v>2.2222404</x:v>
      </x:c>
      <x:c r="K10" s="8"/>
      <x:c r="L10" s="8"/>
      <x:c r="M10" s="3" t="str">
        <x:v>Not available</x:v>
      </x:c>
    </x:row>
    <x:row r="11">
      <x:c r="A11" s="7" t="n">
        <x:v>36800</x:v>
      </x:c>
      <x:c r="B11" s="8"/>
      <x:c r="C11" s="8"/>
      <x:c r="D11" s="8"/>
      <x:c r="E11" s="8" t="n">
        <x:v>16</x:v>
      </x:c>
      <x:c r="F11" s="8" t="n">
        <x:v>119.74</x:v>
      </x:c>
      <x:c r="G11" s="8" t="n">
        <x:v>30.67</x:v>
      </x:c>
      <x:c r="H11" s="9" t="n">
        <x:v>984274.4465</x:v>
      </x:c>
      <x:c r="I11" s="9" t="n">
        <x:v>588250.54508929</x:v>
      </x:c>
      <x:c r="J11" s="8" t="n">
        <x:v>2.309521516129032</x:v>
      </x:c>
      <x:c r="K11" s="8"/>
      <x:c r="L11" s="8"/>
      <x:c r="M11" s="3" t="str">
        <x:v>Not available</x:v>
      </x:c>
    </x:row>
    <x:row r="12">
      <x:c r="A12" s="7" t="n">
        <x:v>36831</x:v>
      </x:c>
      <x:c r="B12" s="8"/>
      <x:c r="C12" s="8"/>
      <x:c r="D12" s="8"/>
      <x:c r="E12" s="8" t="n">
        <x:v>15</x:v>
      </x:c>
      <x:c r="F12" s="8" t="n">
        <x:v>120.28</x:v>
      </x:c>
      <x:c r="G12" s="8" t="n">
        <x:v>32.86</x:v>
      </x:c>
      <x:c r="H12" s="9" t="n">
        <x:v>986750.0627</x:v>
      </x:c>
      <x:c r="I12" s="9" t="n">
        <x:v>593231.35733908</x:v>
      </x:c>
      <x:c r="J12" s="8" t="n">
        <x:v>2.4048548</x:v>
      </x:c>
      <x:c r="K12" s="8"/>
      <x:c r="L12" s="8"/>
      <x:c r="M12" s="3" t="str">
        <x:v>Not available</x:v>
      </x:c>
    </x:row>
    <x:row r="13">
      <x:c r="A13" s="7" t="n">
        <x:v>36861</x:v>
      </x:c>
      <x:c r="B13" s="8"/>
      <x:c r="C13" s="8"/>
      <x:c r="D13" s="8"/>
      <x:c r="E13" s="8" t="n">
        <x:v>14</x:v>
      </x:c>
      <x:c r="F13" s="8" t="n">
        <x:v>122</x:v>
      </x:c>
      <x:c r="G13" s="8" t="n">
        <x:v>25.47</x:v>
      </x:c>
      <x:c r="H13" s="9" t="n">
        <x:v>1036079.5</x:v>
      </x:c>
      <x:c r="I13" s="9" t="n">
        <x:v>596001.5</x:v>
      </x:c>
      <x:c r="J13" s="8" t="n">
        <x:v>2.438496741935484</x:v>
      </x:c>
      <x:c r="K13" s="8"/>
      <x:c r="L13" s="8"/>
      <x:c r="M13" s="3" t="str">
        <x:v>Not available</x:v>
      </x:c>
    </x:row>
    <x:row r="14">
      <x:c r="A14" s="7" t="n">
        <x:v>36892</x:v>
      </x:c>
      <x:c r="B14" s="8" t="n">
        <x:v>4.536778541190464</x:v>
      </x:c>
      <x:c r="C14" s="8"/>
      <x:c r="D14" s="8"/>
      <x:c r="E14" s="8" t="n">
        <x:v>15.5</x:v>
      </x:c>
      <x:c r="F14" s="8" t="n">
        <x:v>123.43</x:v>
      </x:c>
      <x:c r="G14" s="8" t="n">
        <x:v>25.43</x:v>
      </x:c>
      <x:c r="H14" s="9" t="n">
        <x:v>1092754.3</x:v>
      </x:c>
      <x:c r="I14" s="9" t="n">
        <x:v>645124</x:v>
      </x:c>
      <x:c r="J14" s="8" t="n">
        <x:v>2.430879806451613</x:v>
      </x:c>
      <x:c r="K14" s="8"/>
      <x:c r="L14" s="8"/>
      <x:c r="M14" s="3" t="str">
        <x:v>Not available</x:v>
      </x:c>
    </x:row>
    <x:row r="15">
      <x:c r="A15" s="7" t="n">
        <x:v>36923</x:v>
      </x:c>
      <x:c r="B15" s="8" t="n">
        <x:v>4.629237503571341</x:v>
      </x:c>
      <x:c r="C15" s="8"/>
      <x:c r="D15" s="8"/>
      <x:c r="E15" s="8" t="n">
        <x:v>15.5</x:v>
      </x:c>
      <x:c r="F15" s="8" t="n">
        <x:v>125.21</x:v>
      </x:c>
      <x:c r="G15" s="8" t="n">
        <x:v>27.4</x:v>
      </x:c>
      <x:c r="H15" s="9" t="n">
        <x:v>1204777.7</x:v>
      </x:c>
      <x:c r="I15" s="9" t="n">
        <x:v>688992.7</x:v>
      </x:c>
      <x:c r="J15" s="8" t="n">
        <x:v>2.4605097857142857</x:v>
      </x:c>
      <x:c r="K15" s="8"/>
      <x:c r="L15" s="8"/>
      <x:c r="M15" s="3" t="str">
        <x:v>Not available</x:v>
      </x:c>
    </x:row>
    <x:row r="16">
      <x:c r="A16" s="7" t="n">
        <x:v>36951</x:v>
      </x:c>
      <x:c r="B16" s="8" t="n">
        <x:v>4.663518648173463</x:v>
      </x:c>
      <x:c r="C16" s="8"/>
      <x:c r="D16" s="8"/>
      <x:c r="E16" s="8" t="n">
        <x:v>16.5</x:v>
      </x:c>
      <x:c r="F16" s="8" t="n">
        <x:v>127.55</x:v>
      </x:c>
      <x:c r="G16" s="8" t="n">
        <x:v>24.35</x:v>
      </x:c>
      <x:c r="H16" s="9" t="n">
        <x:v>1274030.4</x:v>
      </x:c>
      <x:c r="I16" s="9" t="n">
        <x:v>713552.1</x:v>
      </x:c>
      <x:c r="J16" s="8" t="n">
        <x:v>2.4113766129032257</x:v>
      </x:c>
      <x:c r="K16" s="8"/>
      <x:c r="L16" s="8"/>
      <x:c r="M16" s="3" t="str">
        <x:v>Not available</x:v>
      </x:c>
    </x:row>
    <x:row r="17">
      <x:c r="A17" s="7" t="n">
        <x:v>36982</x:v>
      </x:c>
      <x:c r="B17" s="8" t="n">
        <x:v>4.95901270227493</x:v>
      </x:c>
      <x:c r="C17" s="8"/>
      <x:c r="D17" s="8"/>
      <x:c r="E17" s="8" t="n">
        <x:v>16.5</x:v>
      </x:c>
      <x:c r="F17" s="8" t="n">
        <x:v>135.52</x:v>
      </x:c>
      <x:c r="G17" s="8" t="n">
        <x:v>25.43</x:v>
      </x:c>
      <x:c r="H17" s="9" t="n">
        <x:v>1289159.1</x:v>
      </x:c>
      <x:c r="I17" s="9" t="n">
        <x:v>710510.6</x:v>
      </x:c>
      <x:c r="J17" s="8" t="n">
        <x:v>2.4311576666666666</x:v>
      </x:c>
      <x:c r="K17" s="8"/>
      <x:c r="L17" s="8"/>
      <x:c r="M17" s="3" t="str">
        <x:v>Not available</x:v>
      </x:c>
    </x:row>
    <x:row r="18">
      <x:c r="A18" s="7" t="n">
        <x:v>37012</x:v>
      </x:c>
      <x:c r="B18" s="8" t="n">
        <x:v>5.104113535086597</x:v>
      </x:c>
      <x:c r="C18" s="8"/>
      <x:c r="D18" s="8"/>
      <x:c r="E18" s="8" t="n">
        <x:v>16.5</x:v>
      </x:c>
      <x:c r="F18" s="8" t="n">
        <x:v>138</x:v>
      </x:c>
      <x:c r="G18" s="8" t="n">
        <x:v>28.51</x:v>
      </x:c>
      <x:c r="H18" s="9" t="n">
        <x:v>1303536.4</x:v>
      </x:c>
      <x:c r="I18" s="9" t="n">
        <x:v>741201</x:v>
      </x:c>
      <x:c r="J18" s="8" t="n">
        <x:v>2.332177548387097</x:v>
      </x:c>
      <x:c r="K18" s="8"/>
      <x:c r="L18" s="8"/>
      <x:c r="M18" s="3" t="str">
        <x:v>Not available</x:v>
      </x:c>
    </x:row>
    <x:row r="19">
      <x:c r="A19" s="7" t="n">
        <x:v>37043</x:v>
      </x:c>
      <x:c r="B19" s="8" t="n">
        <x:v>5.025527877077176</x:v>
      </x:c>
      <x:c r="C19" s="8"/>
      <x:c r="D19" s="8"/>
      <x:c r="E19" s="8" t="n">
        <x:v>16.5</x:v>
      </x:c>
      <x:c r="F19" s="8" t="n">
        <x:v>136.19</x:v>
      </x:c>
      <x:c r="G19" s="8" t="n">
        <x:v>28.06</x:v>
      </x:c>
      <x:c r="H19" s="9" t="n">
        <x:v>1263161.2</x:v>
      </x:c>
      <x:c r="I19" s="9" t="n">
        <x:v>758574.6</x:v>
      </x:c>
      <x:c r="J19" s="8" t="n">
        <x:v>2.2777886</x:v>
      </x:c>
      <x:c r="K19" s="8"/>
      <x:c r="L19" s="8"/>
      <x:c r="M19" s="3" t="str">
        <x:v>Not available</x:v>
      </x:c>
    </x:row>
    <x:row r="20">
      <x:c r="A20" s="7" t="n">
        <x:v>37073</x:v>
      </x:c>
      <x:c r="B20" s="8" t="n">
        <x:v>5.128304411660829</x:v>
      </x:c>
      <x:c r="C20" s="8"/>
      <x:c r="D20" s="8"/>
      <x:c r="E20" s="8" t="n">
        <x:v>18.5</x:v>
      </x:c>
      <x:c r="F20" s="8" t="n">
        <x:v>135.89</x:v>
      </x:c>
      <x:c r="G20" s="8" t="n">
        <x:v>24.81</x:v>
      </x:c>
      <x:c r="H20" s="9" t="n">
        <x:v>1271785</x:v>
      </x:c>
      <x:c r="I20" s="9" t="n">
        <x:v>777313.9</x:v>
      </x:c>
      <x:c r="J20" s="8" t="n">
        <x:v>2.2731835161290324</x:v>
      </x:c>
      <x:c r="K20" s="8"/>
      <x:c r="L20" s="8"/>
      <x:c r="M20" s="3" t="str">
        <x:v>Not available</x:v>
      </x:c>
    </x:row>
    <x:row r="21">
      <x:c r="A21" s="7" t="n">
        <x:v>37104</x:v>
      </x:c>
      <x:c r="B21" s="8" t="n">
        <x:v>5.233788310178901</x:v>
      </x:c>
      <x:c r="C21" s="8"/>
      <x:c r="D21" s="8"/>
      <x:c r="E21" s="8" t="n">
        <x:v>18.5</x:v>
      </x:c>
      <x:c r="F21" s="8" t="n">
        <x:v>134.54</x:v>
      </x:c>
      <x:c r="G21" s="8" t="n">
        <x:v>25.41</x:v>
      </x:c>
      <x:c r="H21" s="9" t="n">
        <x:v>1254749.7</x:v>
      </x:c>
      <x:c r="I21" s="9" t="n">
        <x:v>788912.2000000001</x:v>
      </x:c>
      <x:c r="J21" s="8" t="n">
        <x:v>2.3790603225806453</x:v>
      </x:c>
      <x:c r="K21" s="8"/>
      <x:c r="L21" s="8"/>
      <x:c r="M21" s="3" t="str">
        <x:v>Not available</x:v>
      </x:c>
    </x:row>
    <x:row r="22">
      <x:c r="A22" s="7" t="n">
        <x:v>37135</x:v>
      </x:c>
      <x:c r="B22" s="8" t="n">
        <x:v>5.324679621104462</x:v>
      </x:c>
      <x:c r="C22" s="8"/>
      <x:c r="D22" s="8"/>
      <x:c r="E22" s="8" t="n">
        <x:v>20.5</x:v>
      </x:c>
      <x:c r="F22" s="8" t="n">
        <x:v>134.54</x:v>
      </x:c>
      <x:c r="G22" s="8" t="n">
        <x:v>25.98</x:v>
      </x:c>
      <x:c r="H22" s="9" t="n">
        <x:v>1327624.7</x:v>
      </x:c>
      <x:c r="I22" s="9" t="n">
        <x:v>832559.7000000001</x:v>
      </x:c>
      <x:c r="J22" s="8" t="n">
        <x:v>2.4109724</x:v>
      </x:c>
      <x:c r="K22" s="8"/>
      <x:c r="L22" s="8"/>
      <x:c r="M22" s="3" t="str">
        <x:v>Not available</x:v>
      </x:c>
    </x:row>
    <x:row r="23">
      <x:c r="A23" s="7" t="n">
        <x:v>37165</x:v>
      </x:c>
      <x:c r="B23" s="8" t="n">
        <x:v>5.366830746492844</x:v>
      </x:c>
      <x:c r="C23" s="8"/>
      <x:c r="D23" s="8"/>
      <x:c r="E23" s="8" t="n">
        <x:v>20.5</x:v>
      </x:c>
      <x:c r="F23" s="8" t="n">
        <x:v>134.45</x:v>
      </x:c>
      <x:c r="G23" s="8" t="n">
        <x:v>20.6</x:v>
      </x:c>
      <x:c r="H23" s="9" t="n">
        <x:v>1309696.6</x:v>
      </x:c>
      <x:c r="I23" s="9" t="n">
        <x:v>824037.8</x:v>
      </x:c>
      <x:c r="J23" s="8" t="n">
        <x:v>2.386961806451613</x:v>
      </x:c>
      <x:c r="K23" s="8"/>
      <x:c r="L23" s="8"/>
      <x:c r="M23" s="3" t="str">
        <x:v>Not available</x:v>
      </x:c>
    </x:row>
    <x:row r="24">
      <x:c r="A24" s="7" t="n">
        <x:v>37196</x:v>
      </x:c>
      <x:c r="B24" s="8" t="n">
        <x:v>5.209058706972854</x:v>
      </x:c>
      <x:c r="C24" s="8"/>
      <x:c r="D24" s="8"/>
      <x:c r="E24" s="8" t="n">
        <x:v>20.5</x:v>
      </x:c>
      <x:c r="F24" s="8" t="n">
        <x:v>134.0455</x:v>
      </x:c>
      <x:c r="G24" s="8" t="n">
        <x:v>18.92</x:v>
      </x:c>
      <x:c r="H24" s="9" t="n">
        <x:v>1324715.1</x:v>
      </x:c>
      <x:c r="I24" s="9" t="n">
        <x:v>843760.2999999999</x:v>
      </x:c>
      <x:c r="J24" s="8" t="n">
        <x:v>2.359333</x:v>
      </x:c>
      <x:c r="K24" s="8"/>
      <x:c r="L24" s="8"/>
      <x:c r="M24" s="3" t="str">
        <x:v>Not available</x:v>
      </x:c>
    </x:row>
    <x:row r="25">
      <x:c r="A25" s="7" t="n">
        <x:v>37226</x:v>
      </x:c>
      <x:c r="B25" s="8" t="n">
        <x:v>5.188360335557308</x:v>
      </x:c>
      <x:c r="C25" s="8"/>
      <x:c r="D25" s="8"/>
      <x:c r="E25" s="8" t="n">
        <x:v>20.5</x:v>
      </x:c>
      <x:c r="F25" s="8" t="n">
        <x:v>134.5944</x:v>
      </x:c>
      <x:c r="G25" s="8" t="n">
        <x:v>18.78</x:v>
      </x:c>
      <x:c r="H25" s="9" t="n">
        <x:v>1315869.146</x:v>
      </x:c>
      <x:c r="I25" s="9" t="n">
        <x:v>854999.3250230001</x:v>
      </x:c>
      <x:c r="J25" s="8" t="n">
        <x:v>2.29932035483871</x:v>
      </x:c>
      <x:c r="K25" s="8"/>
      <x:c r="L25" s="8"/>
      <x:c r="M25" s="3" t="str">
        <x:v>Not available</x:v>
      </x:c>
    </x:row>
    <x:row r="26">
      <x:c r="A26" s="7" t="n">
        <x:v>37257</x:v>
      </x:c>
      <x:c r="B26" s="8" t="n">
        <x:v>5.378441165538581</x:v>
      </x:c>
      <x:c r="C26" s="8"/>
      <x:c r="D26" s="8"/>
      <x:c r="E26" s="8" t="n">
        <x:v>20.5</x:v>
      </x:c>
      <x:c r="F26" s="8" t="n">
        <x:v>135.87</x:v>
      </x:c>
      <x:c r="G26" s="8" t="n">
        <x:v>19.65</x:v>
      </x:c>
      <x:c r="H26" s="9" t="n">
        <x:v>1347265.6</x:v>
      </x:c>
      <x:c r="I26" s="9" t="n">
        <x:v>854130.6000000001</x:v>
      </x:c>
      <x:c r="J26" s="8" t="n">
        <x:v>2.176733806451613</x:v>
      </x:c>
      <x:c r="K26" s="8"/>
      <x:c r="L26" s="8"/>
      <x:c r="M26" s="3" t="str">
        <x:v>Not available</x:v>
      </x:c>
    </x:row>
    <x:row r="27">
      <x:c r="A27" s="7" t="n">
        <x:v>37288</x:v>
      </x:c>
      <x:c r="B27" s="8" t="n">
        <x:v>5.462236565534666</x:v>
      </x:c>
      <x:c r="C27" s="8"/>
      <x:c r="D27" s="8"/>
      <x:c r="E27" s="8" t="n">
        <x:v>20.5</x:v>
      </x:c>
      <x:c r="F27" s="8" t="n">
        <x:v>139.1842</x:v>
      </x:c>
      <x:c r="G27" s="8" t="n">
        <x:v>20.3</x:v>
      </x:c>
      <x:c r="H27" s="9" t="n">
        <x:v>1381821.4</x:v>
      </x:c>
      <x:c r="I27" s="9" t="n">
        <x:v>875789.9</x:v>
      </x:c>
      <x:c r="J27" s="8" t="n">
        <x:v>1.9719294642857144</x:v>
      </x:c>
      <x:c r="K27" s="8"/>
      <x:c r="L27" s="8"/>
      <x:c r="M27" s="3" t="str">
        <x:v>Not available</x:v>
      </x:c>
    </x:row>
    <x:row r="28">
      <x:c r="A28" s="7" t="n">
        <x:v>37316</x:v>
      </x:c>
      <x:c r="B28" s="8" t="n">
        <x:v>5.474153452494301</x:v>
      </x:c>
      <x:c r="C28" s="8"/>
      <x:c r="D28" s="8"/>
      <x:c r="E28" s="8" t="n">
        <x:v>20.5</x:v>
      </x:c>
      <x:c r="F28" s="8" t="n">
        <x:v>138.99</x:v>
      </x:c>
      <x:c r="G28" s="8" t="n">
        <x:v>23.76</x:v>
      </x:c>
      <x:c r="H28" s="9" t="n">
        <x:v>1423345.5</x:v>
      </x:c>
      <x:c r="I28" s="9" t="n">
        <x:v>892872.3999999999</x:v>
      </x:c>
      <x:c r="J28" s="8" t="n">
        <x:v>1.9605983870967743</x:v>
      </x:c>
      <x:c r="K28" s="8"/>
      <x:c r="L28" s="8"/>
      <x:c r="M28" s="3" t="str">
        <x:v>Not available</x:v>
      </x:c>
    </x:row>
    <x:row r="29">
      <x:c r="A29" s="7" t="n">
        <x:v>37347</x:v>
      </x:c>
      <x:c r="B29" s="8" t="n">
        <x:v>5.592002152615396</x:v>
      </x:c>
      <x:c r="C29" s="8"/>
      <x:c r="D29" s="8"/>
      <x:c r="E29" s="8" t="n">
        <x:v>20.5</x:v>
      </x:c>
      <x:c r="F29" s="8" t="n">
        <x:v>136.981</x:v>
      </x:c>
      <x:c r="G29" s="8" t="n">
        <x:v>25.79</x:v>
      </x:c>
      <x:c r="H29" s="9" t="n">
        <x:v>1435397.5</x:v>
      </x:c>
      <x:c r="I29" s="9" t="n">
        <x:v>901459</x:v>
      </x:c>
      <x:c r="J29" s="8" t="n">
        <x:v>1.9629343666666668</x:v>
      </x:c>
      <x:c r="K29" s="8"/>
      <x:c r="L29" s="8"/>
      <x:c r="M29" s="3" t="str">
        <x:v>Not available</x:v>
      </x:c>
    </x:row>
    <x:row r="30">
      <x:c r="A30" s="7" t="n">
        <x:v>37377</x:v>
      </x:c>
      <x:c r="B30" s="8" t="n">
        <x:v>5.623768730613628</x:v>
      </x:c>
      <x:c r="C30" s="8"/>
      <x:c r="D30" s="8"/>
      <x:c r="E30" s="8" t="n">
        <x:v>20.5</x:v>
      </x:c>
      <x:c r="F30" s="8" t="n">
        <x:v>136.29</x:v>
      </x:c>
      <x:c r="G30" s="8" t="n">
        <x:v>25.1</x:v>
      </x:c>
      <x:c r="H30" s="9" t="n">
        <x:v>1442433.7</x:v>
      </x:c>
      <x:c r="I30" s="9" t="n">
        <x:v>918216.8000000002</x:v>
      </x:c>
      <x:c r="J30" s="8" t="n">
        <x:v>1.9149257096774193</x:v>
      </x:c>
      <x:c r="K30" s="8"/>
      <x:c r="L30" s="8"/>
      <x:c r="M30" s="3" t="str">
        <x:v>Not available</x:v>
      </x:c>
    </x:row>
    <x:row r="31">
      <x:c r="A31" s="7" t="n">
        <x:v>37408</x:v>
      </x:c>
      <x:c r="B31" s="8" t="n">
        <x:v>5.639811147183426</x:v>
      </x:c>
      <x:c r="C31" s="8"/>
      <x:c r="D31" s="8"/>
      <x:c r="E31" s="8" t="n">
        <x:v>20.5</x:v>
      </x:c>
      <x:c r="F31" s="8" t="n">
        <x:v>136.465</x:v>
      </x:c>
      <x:c r="G31" s="8" t="n">
        <x:v>23.98</x:v>
      </x:c>
      <x:c r="H31" s="9" t="n">
        <x:v>1502054.9</x:v>
      </x:c>
      <x:c r="I31" s="9" t="n">
        <x:v>939384.2</x:v>
      </x:c>
      <x:c r="J31" s="8" t="n">
        <x:v>1.9028662</x:v>
      </x:c>
      <x:c r="K31" s="8"/>
      <x:c r="L31" s="8"/>
      <x:c r="M31" s="3" t="str">
        <x:v>Not available</x:v>
      </x:c>
    </x:row>
    <x:row r="32">
      <x:c r="A32" s="7" t="n">
        <x:v>37438</x:v>
      </x:c>
      <x:c r="B32" s="8" t="n">
        <x:v>5.926900859140755</x:v>
      </x:c>
      <x:c r="C32" s="8"/>
      <x:c r="D32" s="8"/>
      <x:c r="E32" s="8" t="n">
        <x:v>18.5</x:v>
      </x:c>
      <x:c r="F32" s="8" t="n">
        <x:v>135.8043</x:v>
      </x:c>
      <x:c r="G32" s="8" t="n">
        <x:v>25.93</x:v>
      </x:c>
      <x:c r="H32" s="9" t="n">
        <x:v>1503378.9</x:v>
      </x:c>
      <x:c r="I32" s="9" t="n">
        <x:v>977445.6</x:v>
      </x:c>
      <x:c r="J32" s="8" t="n">
        <x:v>1.8091753870967742</x:v>
      </x:c>
      <x:c r="K32" s="8"/>
      <x:c r="L32" s="8"/>
      <x:c r="M32" s="3" t="str">
        <x:v>Not available</x:v>
      </x:c>
    </x:row>
    <x:row r="33">
      <x:c r="A33" s="7" t="n">
        <x:v>37469</x:v>
      </x:c>
      <x:c r="B33" s="8" t="n">
        <x:v>5.876581185124255</x:v>
      </x:c>
      <x:c r="C33" s="8"/>
      <x:c r="D33" s="8"/>
      <x:c r="E33" s="8" t="n">
        <x:v>18.5</x:v>
      </x:c>
      <x:c r="F33" s="8" t="n">
        <x:v>137.9079</x:v>
      </x:c>
      <x:c r="G33" s="8" t="n">
        <x:v>26.94</x:v>
      </x:c>
      <x:c r="H33" s="9" t="n">
        <x:v>1528379.1</x:v>
      </x:c>
      <x:c r="I33" s="9" t="n">
        <x:v>908300.7</x:v>
      </x:c>
      <x:c r="J33" s="8" t="n">
        <x:v>2.1069428064516127</x:v>
      </x:c>
      <x:c r="K33" s="8"/>
      <x:c r="L33" s="8"/>
      <x:c r="M33" s="3" t="str">
        <x:v>Not available</x:v>
      </x:c>
    </x:row>
    <x:row r="34">
      <x:c r="A34" s="7" t="n">
        <x:v>37500</x:v>
      </x:c>
      <x:c r="B34" s="8" t="n">
        <x:v>5.855800303116505</x:v>
      </x:c>
      <x:c r="C34" s="8"/>
      <x:c r="D34" s="8"/>
      <x:c r="E34" s="8" t="n">
        <x:v>18.5</x:v>
      </x:c>
      <x:c r="F34" s="8" t="n">
        <x:v>139.025</x:v>
      </x:c>
      <x:c r="G34" s="8" t="n">
        <x:v>28.46</x:v>
      </x:c>
      <x:c r="H34" s="9" t="n">
        <x:v>1605419.1</x:v>
      </x:c>
      <x:c r="I34" s="9" t="n">
        <x:v>968625.5000000002</x:v>
      </x:c>
      <x:c r="J34" s="8" t="n">
        <x:v>2.161314433333333</x:v>
      </x:c>
      <x:c r="K34" s="8"/>
      <x:c r="L34" s="8"/>
      <x:c r="M34" s="3" t="str">
        <x:v>Not available</x:v>
      </x:c>
    </x:row>
    <x:row r="35">
      <x:c r="A35" s="7" t="n">
        <x:v>37530</x:v>
      </x:c>
      <x:c r="B35" s="8" t="n">
        <x:v>5.6550873939684765</x:v>
      </x:c>
      <x:c r="C35" s="8"/>
      <x:c r="D35" s="8"/>
      <x:c r="E35" s="8" t="n">
        <x:v>18.5</x:v>
      </x:c>
      <x:c r="F35" s="8" t="n">
        <x:v>139.1684</x:v>
      </x:c>
      <x:c r="G35" s="8" t="n">
        <x:v>27.9</x:v>
      </x:c>
      <x:c r="H35" s="9" t="n">
        <x:v>1691612.5</x:v>
      </x:c>
      <x:c r="I35" s="9" t="n">
        <x:v>977417.0999999999</x:v>
      </x:c>
      <x:c r="J35" s="8" t="n">
        <x:v>2.0187876451612903</x:v>
      </x:c>
      <x:c r="K35" s="8"/>
      <x:c r="L35" s="8"/>
      <x:c r="M35" s="3" t="str">
        <x:v>Not available</x:v>
      </x:c>
    </x:row>
    <x:row r="36">
      <x:c r="A36" s="7" t="n">
        <x:v>37561</x:v>
      </x:c>
      <x:c r="B36" s="8" t="n">
        <x:v>5.841997459763655</x:v>
      </x:c>
      <x:c r="C36" s="8"/>
      <x:c r="D36" s="8"/>
      <x:c r="E36" s="8" t="n">
        <x:v>18.5</x:v>
      </x:c>
      <x:c r="F36" s="8" t="n">
        <x:v>139.2222</x:v>
      </x:c>
      <x:c r="G36" s="8" t="n">
        <x:v>24.07</x:v>
      </x:c>
      <x:c r="H36" s="9" t="n">
        <x:v>1610959.2</x:v>
      </x:c>
      <x:c r="I36" s="9" t="n">
        <x:v>996523.2</x:v>
      </x:c>
      <x:c r="J36" s="8" t="n">
        <x:v>2.1858948666666667</x:v>
      </x:c>
      <x:c r="K36" s="8"/>
      <x:c r="L36" s="8"/>
      <x:c r="M36" s="3" t="str">
        <x:v>Not available</x:v>
      </x:c>
    </x:row>
    <x:row r="37">
      <x:c r="A37" s="7" t="n">
        <x:v>37591</x:v>
      </x:c>
      <x:c r="B37" s="8" t="n">
        <x:v>5.819707812641331</x:v>
      </x:c>
      <x:c r="C37" s="8"/>
      <x:c r="D37" s="8"/>
      <x:c r="E37" s="8" t="n">
        <x:v>16.5</x:v>
      </x:c>
      <x:c r="F37" s="8" t="n">
        <x:v>138.5733</x:v>
      </x:c>
      <x:c r="G37" s="8" t="n">
        <x:v>29.27</x:v>
      </x:c>
      <x:c r="H37" s="9" t="n">
        <x:v>1599494.6</x:v>
      </x:c>
      <x:c r="I37" s="9" t="n">
        <x:v>955762.0999999999</x:v>
      </x:c>
      <x:c r="J37" s="8" t="n">
        <x:v>2.1767994516129034</x:v>
      </x:c>
      <x:c r="K37" s="8"/>
      <x:c r="L37" s="8"/>
      <x:c r="M37" s="3" t="str">
        <x:v>Not available</x:v>
      </x:c>
    </x:row>
    <x:row r="38">
      <x:c r="A38" s="7" t="n">
        <x:v>37622</x:v>
      </x:c>
      <x:c r="B38" s="8" t="n">
        <x:v>5.948082506882064</x:v>
      </x:c>
      <x:c r="C38" s="8"/>
      <x:c r="D38" s="8"/>
      <x:c r="E38" s="8" t="n">
        <x:v>16.5</x:v>
      </x:c>
      <x:c r="F38" s="8" t="n">
        <x:v>139.7045</x:v>
      </x:c>
      <x:c r="G38" s="8" t="n">
        <x:v>30.78</x:v>
      </x:c>
      <x:c r="H38" s="9" t="n">
        <x:v>1746192.1</x:v>
      </x:c>
      <x:c r="I38" s="9" t="n">
        <x:v>1029740.9</x:v>
      </x:c>
      <x:c r="J38" s="8" t="n">
        <x:v>2.3711384516129033</x:v>
      </x:c>
      <x:c r="K38" s="8"/>
      <x:c r="L38" s="8"/>
      <x:c r="M38" s="3" t="str">
        <x:v>Not available</x:v>
      </x:c>
    </x:row>
    <x:row r="39">
      <x:c r="A39" s="7" t="n">
        <x:v>37653</x:v>
      </x:c>
      <x:c r="B39" s="8" t="n">
        <x:v>5.859430769173446</x:v>
      </x:c>
      <x:c r="C39" s="8"/>
      <x:c r="D39" s="8"/>
      <x:c r="E39" s="8" t="n">
        <x:v>16.5</x:v>
      </x:c>
      <x:c r="F39" s="8" t="n">
        <x:v>140</x:v>
      </x:c>
      <x:c r="G39" s="8" t="n">
        <x:v>32.33</x:v>
      </x:c>
      <x:c r="H39" s="9" t="n">
        <x:v>1778660.2</x:v>
      </x:c>
      <x:c r="I39" s="9" t="n">
        <x:v>1038530.3</x:v>
      </x:c>
      <x:c r="J39" s="8" t="n">
        <x:v>2.405738642857143</x:v>
      </x:c>
      <x:c r="K39" s="8"/>
      <x:c r="L39" s="8"/>
      <x:c r="M39" s="3" t="str">
        <x:v>Not available</x:v>
      </x:c>
    </x:row>
    <x:row r="40">
      <x:c r="A40" s="7" t="n">
        <x:v>37681</x:v>
      </x:c>
      <x:c r="B40" s="8" t="n">
        <x:v>5.79504893280003</x:v>
      </x:c>
      <x:c r="C40" s="8"/>
      <x:c r="D40" s="8"/>
      <x:c r="E40" s="8" t="n">
        <x:v>16.5</x:v>
      </x:c>
      <x:c r="F40" s="8" t="n">
        <x:v>138.4545</x:v>
      </x:c>
      <x:c r="G40" s="8" t="n">
        <x:v>30.83</x:v>
      </x:c>
      <x:c r="H40" s="9" t="n">
        <x:v>1918925.7</x:v>
      </x:c>
      <x:c r="I40" s="9" t="n">
        <x:v>1024325.7000000001</x:v>
      </x:c>
      <x:c r="J40" s="8" t="n">
        <x:v>2.2229371612903224</x:v>
      </x:c>
      <x:c r="K40" s="8"/>
      <x:c r="L40" s="8"/>
      <x:c r="M40" s="3" t="str">
        <x:v>Not available</x:v>
      </x:c>
    </x:row>
    <x:row r="41">
      <x:c r="A41" s="7" t="n">
        <x:v>37712</x:v>
      </x:c>
      <x:c r="B41" s="8" t="n">
        <x:v>6.054320787957421</x:v>
      </x:c>
      <x:c r="C41" s="8"/>
      <x:c r="D41" s="8"/>
      <x:c r="E41" s="8" t="n">
        <x:v>16.5</x:v>
      </x:c>
      <x:c r="F41" s="8" t="n">
        <x:v>138.75</x:v>
      </x:c>
      <x:c r="G41" s="8" t="n">
        <x:v>25.27</x:v>
      </x:c>
      <x:c r="H41" s="9" t="n">
        <x:v>1966190.1</x:v>
      </x:c>
      <x:c r="I41" s="9" t="n">
        <x:v>1051532.1</x:v>
      </x:c>
      <x:c r="J41" s="8" t="n">
        <x:v>2.1845769</x:v>
      </x:c>
      <x:c r="K41" s="8"/>
      <x:c r="L41" s="8"/>
      <x:c r="M41" s="3" t="str">
        <x:v>Not available</x:v>
      </x:c>
    </x:row>
    <x:row r="42">
      <x:c r="A42" s="7" t="n">
        <x:v>37742</x:v>
      </x:c>
      <x:c r="B42" s="8" t="n">
        <x:v>6.111500628354244</x:v>
      </x:c>
      <x:c r="C42" s="8"/>
      <x:c r="D42" s="8"/>
      <x:c r="E42" s="8" t="n">
        <x:v>16.5</x:v>
      </x:c>
      <x:c r="F42" s="8" t="n">
        <x:v>140.3143</x:v>
      </x:c>
      <x:c r="G42" s="8" t="n">
        <x:v>25.78</x:v>
      </x:c>
      <x:c r="H42" s="9" t="n">
        <x:v>1857919.5</x:v>
      </x:c>
      <x:c r="I42" s="9" t="n">
        <x:v>1046594.4</x:v>
      </x:c>
      <x:c r="J42" s="8" t="n">
        <x:v>2.2314850322580644</x:v>
      </x:c>
      <x:c r="K42" s="8"/>
      <x:c r="L42" s="8"/>
      <x:c r="M42" s="3" t="str">
        <x:v>Not available</x:v>
      </x:c>
    </x:row>
    <x:row r="43">
      <x:c r="A43" s="7" t="n">
        <x:v>37773</x:v>
      </x:c>
      <x:c r="B43" s="8" t="n">
        <x:v>6.428687510965829</x:v>
      </x:c>
      <x:c r="C43" s="8"/>
      <x:c r="D43" s="8"/>
      <x:c r="E43" s="8" t="n">
        <x:v>16.5</x:v>
      </x:c>
      <x:c r="F43" s="8" t="n">
        <x:v>139.4167</x:v>
      </x:c>
      <x:c r="G43" s="8" t="n">
        <x:v>27.46</x:v>
      </x:c>
      <x:c r="H43" s="9" t="n">
        <x:v>2124315.7</x:v>
      </x:c>
      <x:c r="I43" s="9" t="n">
        <x:v>1066036.8</x:v>
      </x:c>
      <x:c r="J43" s="8" t="n">
        <x:v>2.2081945</x:v>
      </x:c>
      <x:c r="K43" s="8"/>
      <x:c r="L43" s="8"/>
      <x:c r="M43" s="3" t="str">
        <x:v>Not available</x:v>
      </x:c>
    </x:row>
    <x:row r="44">
      <x:c r="A44" s="7" t="n">
        <x:v>37803</x:v>
      </x:c>
      <x:c r="B44" s="8" t="n">
        <x:v>6.692704338110732</x:v>
      </x:c>
      <x:c r="C44" s="8"/>
      <x:c r="D44" s="8"/>
      <x:c r="E44" s="8" t="n">
        <x:v>16.5</x:v>
      </x:c>
      <x:c r="F44" s="8" t="n">
        <x:v>139</x:v>
      </x:c>
      <x:c r="G44" s="8" t="n">
        <x:v>28.39</x:v>
      </x:c>
      <x:c r="H44" s="9" t="n">
        <x:v>1952426.1</x:v>
      </x:c>
      <x:c r="I44" s="9" t="n">
        <x:v>1105225.5999999999</x:v>
      </x:c>
      <x:c r="J44" s="8" t="n">
        <x:v>2.229662548387097</x:v>
      </x:c>
      <x:c r="K44" s="8"/>
      <x:c r="L44" s="8"/>
      <x:c r="M44" s="3" t="str">
        <x:v>Not available</x:v>
      </x:c>
    </x:row>
    <x:row r="45">
      <x:c r="A45" s="7" t="n">
        <x:v>37834</x:v>
      </x:c>
      <x:c r="B45" s="8" t="n">
        <x:v>6.6077544793766085</x:v>
      </x:c>
      <x:c r="C45" s="8"/>
      <x:c r="D45" s="8"/>
      <x:c r="E45" s="8" t="n">
        <x:v>15</x:v>
      </x:c>
      <x:c r="F45" s="8" t="n">
        <x:v>141</x:v>
      </x:c>
      <x:c r="G45" s="8" t="n">
        <x:v>29.79</x:v>
      </x:c>
      <x:c r="H45" s="9" t="n">
        <x:v>1972619</x:v>
      </x:c>
      <x:c r="I45" s="9" t="n">
        <x:v>1119970.0000000002</x:v>
      </x:c>
      <x:c r="J45" s="8" t="n">
        <x:v>2.3068950967741935</x:v>
      </x:c>
      <x:c r="K45" s="8"/>
      <x:c r="L45" s="8"/>
      <x:c r="M45" s="3" t="str">
        <x:v>Not available</x:v>
      </x:c>
    </x:row>
    <x:row r="46">
      <x:c r="A46" s="7" t="n">
        <x:v>37865</x:v>
      </x:c>
      <x:c r="B46" s="8" t="n">
        <x:v>6.931664012679383</x:v>
      </x:c>
      <x:c r="C46" s="8"/>
      <x:c r="D46" s="8"/>
      <x:c r="E46" s="8" t="n">
        <x:v>15</x:v>
      </x:c>
      <x:c r="F46" s="8" t="n">
        <x:v>143</x:v>
      </x:c>
      <x:c r="G46" s="8" t="n">
        <x:v>27.47</x:v>
      </x:c>
      <x:c r="H46" s="9" t="n">
        <x:v>1981068.5</x:v>
      </x:c>
      <x:c r="I46" s="9" t="n">
        <x:v>1065107.1</x:v>
      </x:c>
      <x:c r="J46" s="8" t="n">
        <x:v>2.2907564666666667</x:v>
      </x:c>
      <x:c r="K46" s="8"/>
      <x:c r="L46" s="8"/>
      <x:c r="M46" s="3" t="str">
        <x:v>Not available</x:v>
      </x:c>
    </x:row>
    <x:row r="47">
      <x:c r="A47" s="7" t="n">
        <x:v>37895</x:v>
      </x:c>
      <x:c r="B47" s="8" t="n">
        <x:v>6.989723268648748</x:v>
      </x:c>
      <x:c r="C47" s="8"/>
      <x:c r="D47" s="8"/>
      <x:c r="E47" s="8" t="n">
        <x:v>15</x:v>
      </x:c>
      <x:c r="F47" s="8" t="n">
        <x:v>143.6705</x:v>
      </x:c>
      <x:c r="G47" s="8" t="n">
        <x:v>29.59</x:v>
      </x:c>
      <x:c r="H47" s="9" t="n">
        <x:v>2071969</x:v>
      </x:c>
      <x:c r="I47" s="9" t="n">
        <x:v>1179478.4000000001</x:v>
      </x:c>
      <x:c r="J47" s="8" t="n">
        <x:v>2.407719935483871</x:v>
      </x:c>
      <x:c r="K47" s="8"/>
      <x:c r="L47" s="8"/>
      <x:c r="M47" s="3" t="str">
        <x:v>Not available</x:v>
      </x:c>
    </x:row>
    <x:row r="48">
      <x:c r="A48" s="7" t="n">
        <x:v>37926</x:v>
      </x:c>
      <x:c r="B48" s="8" t="n">
        <x:v>7.085673828513909</x:v>
      </x:c>
      <x:c r="C48" s="8"/>
      <x:c r="D48" s="8"/>
      <x:c r="E48" s="8" t="n">
        <x:v>15</x:v>
      </x:c>
      <x:c r="F48" s="8" t="n">
        <x:v>150.2083</x:v>
      </x:c>
      <x:c r="G48" s="8" t="n">
        <x:v>28.93</x:v>
      </x:c>
      <x:c r="H48" s="9" t="n">
        <x:v>2079576.6</x:v>
      </x:c>
      <x:c r="I48" s="9" t="n">
        <x:v>1219892.1</x:v>
      </x:c>
      <x:c r="J48" s="8" t="n">
        <x:v>2.4448089</x:v>
      </x:c>
      <x:c r="K48" s="8"/>
      <x:c r="L48" s="8"/>
      <x:c r="M48" s="3" t="str">
        <x:v>Not available</x:v>
      </x:c>
    </x:row>
    <x:row r="49">
      <x:c r="A49" s="7" t="n">
        <x:v>37956</x:v>
      </x:c>
      <x:c r="B49" s="8" t="n">
        <x:v>7.205459240829654</x:v>
      </x:c>
      <x:c r="C49" s="8"/>
      <x:c r="D49" s="8"/>
      <x:c r="E49" s="8" t="n">
        <x:v>15</x:v>
      </x:c>
      <x:c r="F49" s="8" t="n">
        <x:v>150.4167</x:v>
      </x:c>
      <x:c r="G49" s="8" t="n">
        <x:v>29.64</x:v>
      </x:c>
      <x:c r="H49" s="9" t="n">
        <x:v>1985191.833</x:v>
      </x:c>
      <x:c r="I49" s="9" t="n">
        <x:v>1211993.3799999997</x:v>
      </x:c>
      <x:c r="J49" s="8" t="n">
        <x:v>2.454037387096774</x:v>
      </x:c>
      <x:c r="K49" s="8"/>
      <x:c r="L49" s="8"/>
      <x:c r="M49" s="3" t="str">
        <x:v>Not available</x:v>
      </x:c>
    </x:row>
    <x:row r="50">
      <x:c r="A50" s="7" t="n">
        <x:v>37987</x:v>
      </x:c>
      <x:c r="B50" s="8" t="n">
        <x:v>7.2800195484955745</x:v>
      </x:c>
      <x:c r="C50" s="8"/>
      <x:c r="D50" s="8"/>
      <x:c r="E50" s="8" t="n">
        <x:v>15</x:v>
      </x:c>
      <x:c r="F50" s="8" t="n">
        <x:v>147.6477</x:v>
      </x:c>
      <x:c r="G50" s="8" t="n">
        <x:v>30.94</x:v>
      </x:c>
      <x:c r="H50" s="9" t="n">
        <x:v>1917503.4</x:v>
      </x:c>
      <x:c r="I50" s="9" t="n">
        <x:v>1261320.5999999999</x:v>
      </x:c>
      <x:c r="J50" s="8" t="n">
        <x:v>2.5122065161290323</x:v>
      </x:c>
      <x:c r="K50" s="8"/>
      <x:c r="L50" s="8"/>
      <x:c r="M50" s="3" t="str">
        <x:v>Not available</x:v>
      </x:c>
    </x:row>
    <x:row r="51">
      <x:c r="A51" s="7" t="n">
        <x:v>38018</x:v>
      </x:c>
      <x:c r="B51" s="8" t="n">
        <x:v>7.3154662521400295</x:v>
      </x:c>
      <x:c r="C51" s="8"/>
      <x:c r="D51" s="8"/>
      <x:c r="E51" s="8" t="n">
        <x:v>15</x:v>
      </x:c>
      <x:c r="F51" s="8" t="n">
        <x:v>142.95</x:v>
      </x:c>
      <x:c r="G51" s="8" t="n">
        <x:v>30.47</x:v>
      </x:c>
      <x:c r="H51" s="9" t="n">
        <x:v>2062656.1</x:v>
      </x:c>
      <x:c r="I51" s="9" t="n">
        <x:v>1290761.9</x:v>
      </x:c>
      <x:c r="J51" s="8" t="n">
        <x:v>2.6047311785714284</x:v>
      </x:c>
      <x:c r="K51" s="8"/>
      <x:c r="L51" s="8"/>
      <x:c r="M51" s="3" t="str">
        <x:v>Not available</x:v>
      </x:c>
    </x:row>
    <x:row r="52">
      <x:c r="A52" s="7" t="n">
        <x:v>38047</x:v>
      </x:c>
      <x:c r="B52" s="8" t="n">
        <x:v>7.096674529644948</x:v>
      </x:c>
      <x:c r="C52" s="8"/>
      <x:c r="D52" s="8"/>
      <x:c r="E52" s="8" t="n">
        <x:v>15</x:v>
      </x:c>
      <x:c r="F52" s="8" t="n">
        <x:v>139.9239</x:v>
      </x:c>
      <x:c r="G52" s="8" t="n">
        <x:v>33.34</x:v>
      </x:c>
      <x:c r="H52" s="9" t="n">
        <x:v>2106238.6</x:v>
      </x:c>
      <x:c r="I52" s="9" t="n">
        <x:v>1321106.4000000001</x:v>
      </x:c>
      <x:c r="J52" s="8" t="n">
        <x:v>2.5485382258064515</x:v>
      </x:c>
      <x:c r="K52" s="8"/>
      <x:c r="L52" s="8"/>
      <x:c r="M52" s="3" t="str">
        <x:v>Not available</x:v>
      </x:c>
    </x:row>
    <x:row r="53">
      <x:c r="A53" s="7" t="n">
        <x:v>38078</x:v>
      </x:c>
      <x:c r="B53" s="8" t="n">
        <x:v>7.116231331655682</x:v>
      </x:c>
      <x:c r="C53" s="8"/>
      <x:c r="D53" s="8"/>
      <x:c r="E53" s="8" t="n">
        <x:v>15</x:v>
      </x:c>
      <x:c r="F53" s="8" t="n">
        <x:v>138.8523</x:v>
      </x:c>
      <x:c r="G53" s="8" t="n">
        <x:v>33.74</x:v>
      </x:c>
      <x:c r="H53" s="9" t="n">
        <x:v>2089655.8</x:v>
      </x:c>
      <x:c r="I53" s="9" t="n">
        <x:v>1368465.71</x:v>
      </x:c>
      <x:c r="J53" s="8" t="n">
        <x:v>2.5015977666666664</x:v>
      </x:c>
      <x:c r="K53" s="8"/>
      <x:c r="L53" s="8"/>
      <x:c r="M53" s="3" t="str">
        <x:v>Not available</x:v>
      </x:c>
    </x:row>
    <x:row r="54">
      <x:c r="A54" s="7" t="n">
        <x:v>38108</x:v>
      </x:c>
      <x:c r="B54" s="8" t="n">
        <x:v>7.320355452642713</x:v>
      </x:c>
      <x:c r="C54" s="8"/>
      <x:c r="D54" s="8"/>
      <x:c r="E54" s="8" t="n">
        <x:v>15</x:v>
      </x:c>
      <x:c r="F54" s="8" t="n">
        <x:v>139.6429</x:v>
      </x:c>
      <x:c r="G54" s="8" t="n">
        <x:v>37.87</x:v>
      </x:c>
      <x:c r="H54" s="9" t="n">
        <x:v>2105957.6</x:v>
      </x:c>
      <x:c r="I54" s="9" t="n">
        <x:v>1404953.4000000004</x:v>
      </x:c>
      <x:c r="J54" s="8" t="n">
        <x:v>2.451945322580645</x:v>
      </x:c>
      <x:c r="K54" s="8"/>
      <x:c r="L54" s="8"/>
      <x:c r="M54" s="3" t="str">
        <x:v>Not available</x:v>
      </x:c>
    </x:row>
    <x:row r="55">
      <x:c r="A55" s="7" t="n">
        <x:v>38139</x:v>
      </x:c>
      <x:c r="B55" s="8" t="n">
        <x:v>7.3350230541507635</x:v>
      </x:c>
      <x:c r="C55" s="8"/>
      <x:c r="D55" s="8"/>
      <x:c r="E55" s="8" t="n">
        <x:v>15</x:v>
      </x:c>
      <x:c r="F55" s="8" t="n">
        <x:v>140</x:v>
      </x:c>
      <x:c r="G55" s="8" t="n">
        <x:v>35.6</x:v>
      </x:c>
      <x:c r="H55" s="9" t="n">
        <x:v>2113281.4</x:v>
      </x:c>
      <x:c r="I55" s="9" t="n">
        <x:v>1393780.9</x:v>
      </x:c>
      <x:c r="J55" s="8" t="n">
        <x:v>2.495038166666667</x:v>
      </x:c>
      <x:c r="K55" s="8"/>
      <x:c r="L55" s="8"/>
      <x:c r="M55" s="3" t="str">
        <x:v>Not available</x:v>
      </x:c>
    </x:row>
    <x:row r="56">
      <x:c r="A56" s="7" t="n">
        <x:v>38169</x:v>
      </x:c>
      <x:c r="B56" s="8" t="n">
        <x:v>7.407749911628179</x:v>
      </x:c>
      <x:c r="C56" s="8"/>
      <x:c r="D56" s="8"/>
      <x:c r="E56" s="8" t="n">
        <x:v>15</x:v>
      </x:c>
      <x:c r="F56" s="8" t="n">
        <x:v>139.8409</x:v>
      </x:c>
      <x:c r="G56" s="8" t="n">
        <x:v>38.08</x:v>
      </x:c>
      <x:c r="H56" s="9" t="n">
        <x:v>2123061.2</x:v>
      </x:c>
      <x:c r="I56" s="9" t="n">
        <x:v>1462952.7999999996</x:v>
      </x:c>
      <x:c r="J56" s="8" t="n">
        <x:v>2.5057724193548387</x:v>
      </x:c>
      <x:c r="K56" s="8"/>
      <x:c r="L56" s="8"/>
      <x:c r="M56" s="3" t="str">
        <x:v>Not available</x:v>
      </x:c>
    </x:row>
    <x:row r="57">
      <x:c r="A57" s="7" t="n">
        <x:v>38200</x:v>
      </x:c>
      <x:c r="B57" s="8" t="n">
        <x:v>7.46764261778605</x:v>
      </x:c>
      <x:c r="C57" s="8"/>
      <x:c r="D57" s="8"/>
      <x:c r="E57" s="8" t="n">
        <x:v>15</x:v>
      </x:c>
      <x:c r="F57" s="8" t="n">
        <x:v>140.3295</x:v>
      </x:c>
      <x:c r="G57" s="8" t="n">
        <x:v>42.55</x:v>
      </x:c>
      <x:c r="H57" s="9" t="n">
        <x:v>2141896.8</x:v>
      </x:c>
      <x:c r="I57" s="9" t="n">
        <x:v>1465472.8999999994</x:v>
      </x:c>
      <x:c r="J57" s="8" t="n">
        <x:v>2.5240865483870967</x:v>
      </x:c>
      <x:c r="K57" s="8"/>
      <x:c r="L57" s="8"/>
      <x:c r="M57" s="3" t="str">
        <x:v>Not available</x:v>
      </x:c>
    </x:row>
    <x:row r="58">
      <x:c r="A58" s="7" t="n">
        <x:v>38231</x:v>
      </x:c>
      <x:c r="B58" s="8" t="n">
        <x:v>7.564204327714048</x:v>
      </x:c>
      <x:c r="C58" s="8"/>
      <x:c r="D58" s="8"/>
      <x:c r="E58" s="8" t="n">
        <x:v>15</x:v>
      </x:c>
      <x:c r="F58" s="8" t="n">
        <x:v>141.0795</x:v>
      </x:c>
      <x:c r="G58" s="8" t="n">
        <x:v>43.56</x:v>
      </x:c>
      <x:c r="H58" s="9" t="n">
        <x:v>2156836.1</x:v>
      </x:c>
      <x:c r="I58" s="9" t="n">
        <x:v>1489346.4999999998</x:v>
      </x:c>
      <x:c r="J58" s="8" t="n">
        <x:v>2.4936640333333333</x:v>
      </x:c>
      <x:c r="K58" s="8"/>
      <x:c r="L58" s="8"/>
      <x:c r="M58" s="3" t="str">
        <x:v>Not available</x:v>
      </x:c>
    </x:row>
    <x:row r="59">
      <x:c r="A59" s="7" t="n">
        <x:v>38261</x:v>
      </x:c>
      <x:c r="B59" s="8" t="n">
        <x:v>7.739604395747813</x:v>
      </x:c>
      <x:c r="C59" s="8"/>
      <x:c r="D59" s="8"/>
      <x:c r="E59" s="8" t="n">
        <x:v>15</x:v>
      </x:c>
      <x:c r="F59" s="8" t="n">
        <x:v>140.5357</x:v>
      </x:c>
      <x:c r="G59" s="8" t="n">
        <x:v>49.91</x:v>
      </x:c>
      <x:c r="H59" s="9" t="n">
        <x:v>2231973.6</x:v>
      </x:c>
      <x:c r="I59" s="9" t="n">
        <x:v>1524246.3999999997</x:v>
      </x:c>
      <x:c r="J59" s="8" t="n">
        <x:v>2.4605369677419353</x:v>
      </x:c>
      <x:c r="K59" s="8"/>
      <x:c r="L59" s="8"/>
      <x:c r="M59" s="3" t="str">
        <x:v>Not available</x:v>
      </x:c>
    </x:row>
    <x:row r="60">
      <x:c r="A60" s="7" t="n">
        <x:v>38292</x:v>
      </x:c>
      <x:c r="B60" s="8" t="n">
        <x:v>7.79766365171718</x:v>
      </x:c>
      <x:c r="C60" s="8"/>
      <x:c r="D60" s="8"/>
      <x:c r="E60" s="8" t="n">
        <x:v>15</x:v>
      </x:c>
      <x:c r="F60" s="8" t="n">
        <x:v>140.6932</x:v>
      </x:c>
      <x:c r="G60" s="8" t="n">
        <x:v>43.6</x:v>
      </x:c>
      <x:c r="H60" s="9" t="n">
        <x:v>2269179.3</x:v>
      </x:c>
      <x:c r="I60" s="9" t="n">
        <x:v>1543113.1</x:v>
      </x:c>
      <x:c r="J60" s="8" t="n">
        <x:v>2.4676293</x:v>
      </x:c>
      <x:c r="K60" s="8"/>
      <x:c r="L60" s="8"/>
      <x:c r="M60" s="3" t="str">
        <x:v>Not available</x:v>
      </x:c>
    </x:row>
    <x:row r="61">
      <x:c r="A61" s="7" t="n">
        <x:v>38322</x:v>
      </x:c>
      <x:c r="B61" s="8" t="n">
        <x:v>7.926616314975453</x:v>
      </x:c>
      <x:c r="C61" s="8"/>
      <x:c r="D61" s="8"/>
      <x:c r="E61" s="8" t="n">
        <x:v>15</x:v>
      </x:c>
      <x:c r="F61" s="8" t="n">
        <x:v>138.7143</x:v>
      </x:c>
      <x:c r="G61" s="8" t="n">
        <x:v>39.08</x:v>
      </x:c>
      <x:c r="H61" s="9" t="n">
        <x:v>2263587.88</x:v>
      </x:c>
      <x:c r="I61" s="9" t="n">
        <x:v>1534447.77865436</x:v>
      </x:c>
      <x:c r="J61" s="8" t="n">
        <x:v>2.3674344838709676</x:v>
      </x:c>
      <x:c r="K61" s="8"/>
      <x:c r="L61" s="8"/>
      <x:c r="M61" s="3" t="str">
        <x:v>Not available</x:v>
      </x:c>
    </x:row>
    <x:row r="62">
      <x:c r="A62" s="7" t="n">
        <x:v>38353</x:v>
      </x:c>
      <x:c r="B62" s="8" t="n">
        <x:v>7.996287422138692</x:v>
      </x:c>
      <x:c r="C62" s="8"/>
      <x:c r="D62" s="8"/>
      <x:c r="E62" s="8" t="n">
        <x:v>15</x:v>
      </x:c>
      <x:c r="F62" s="8" t="n">
        <x:v>139.8</x:v>
      </x:c>
      <x:c r="G62" s="8" t="n">
        <x:v>44.01</x:v>
      </x:c>
      <x:c r="H62" s="9" t="n">
        <x:v>2349890.3</x:v>
      </x:c>
      <x:c r="I62" s="9" t="n">
        <x:v>1607458.4</x:v>
      </x:c>
      <x:c r="J62" s="8" t="n">
        <x:v>2.436805064516129</x:v>
      </x:c>
      <x:c r="K62" s="8"/>
      <x:c r="L62" s="8"/>
      <x:c r="M62" s="3" t="str">
        <x:v>Not available</x:v>
      </x:c>
    </x:row>
    <x:row r="63">
      <x:c r="A63" s="7" t="n">
        <x:v>38384</x:v>
      </x:c>
      <x:c r="B63" s="8" t="n">
        <x:v>8.1154616843916</x:v>
      </x:c>
      <x:c r="C63" s="8"/>
      <x:c r="D63" s="8"/>
      <x:c r="E63" s="8" t="n">
        <x:v>13</x:v>
      </x:c>
      <x:c r="F63" s="8" t="n">
        <x:v>139.93</x:v>
      </x:c>
      <x:c r="G63" s="8" t="n">
        <x:v>45.43</x:v>
      </x:c>
      <x:c r="H63" s="9" t="n">
        <x:v>2444112.4</x:v>
      </x:c>
      <x:c r="I63" s="9" t="n">
        <x:v>1623277.1879999998</x:v>
      </x:c>
      <x:c r="J63" s="8" t="n">
        <x:v>2.4526275714285712</x:v>
      </x:c>
      <x:c r="K63" s="8"/>
      <x:c r="L63" s="8"/>
      <x:c r="M63" s="3" t="str">
        <x:v>Not available</x:v>
      </x:c>
    </x:row>
    <x:row r="64">
      <x:c r="A64" s="7" t="n">
        <x:v>38412</x:v>
      </x:c>
      <x:c r="B64" s="8" t="n">
        <x:v>8.251136998341064</x:v>
      </x:c>
      <x:c r="C64" s="8"/>
      <x:c r="D64" s="8"/>
      <x:c r="E64" s="8" t="n">
        <x:v>13</x:v>
      </x:c>
      <x:c r="F64" s="8" t="n">
        <x:v>139.73</x:v>
      </x:c>
      <x:c r="G64" s="8" t="n">
        <x:v>53.15</x:v>
      </x:c>
      <x:c r="H64" s="9" t="n">
        <x:v>2568065.32</x:v>
      </x:c>
      <x:c r="I64" s="9" t="n">
        <x:v>1666760.1000000003</x:v>
      </x:c>
      <x:c r="J64" s="8" t="n">
        <x:v>2.488372451612903</x:v>
      </x:c>
      <x:c r="K64" s="8"/>
      <x:c r="L64" s="8"/>
      <x:c r="M64" s="3" t="str">
        <x:v>Not available</x:v>
      </x:c>
    </x:row>
    <x:row r="65">
      <x:c r="A65" s="7" t="n">
        <x:v>38443</x:v>
      </x:c>
      <x:c r="B65" s="8" t="n">
        <x:v>8.392312662856046</x:v>
      </x:c>
      <x:c r="C65" s="8"/>
      <x:c r="D65" s="8"/>
      <x:c r="E65" s="8" t="n">
        <x:v>13</x:v>
      </x:c>
      <x:c r="F65" s="8" t="n">
        <x:v>141.77</x:v>
      </x:c>
      <x:c r="G65" s="8" t="n">
        <x:v>53.18</x:v>
      </x:c>
      <x:c r="H65" s="9" t="n">
        <x:v>2503988.4</x:v>
      </x:c>
      <x:c r="I65" s="9" t="n">
        <x:v>1722901.7000000002</x:v>
      </x:c>
      <x:c r="J65" s="8" t="n">
        <x:v>2.464551033333333</x:v>
      </x:c>
      <x:c r="K65" s="8"/>
      <x:c r="L65" s="8"/>
      <x:c r="M65" s="3" t="str">
        <x:v>Not available</x:v>
      </x:c>
    </x:row>
    <x:row r="66">
      <x:c r="A66" s="7" t="n">
        <x:v>38473</x:v>
      </x:c>
      <x:c r="B66" s="8" t="n">
        <x:v>8.551822829256093</x:v>
      </x:c>
      <x:c r="C66" s="8"/>
      <x:c r="D66" s="8"/>
      <x:c r="E66" s="8" t="n">
        <x:v>13</x:v>
      </x:c>
      <x:c r="F66" s="8" t="n">
        <x:v>141.21</x:v>
      </x:c>
      <x:c r="G66" s="8" t="n">
        <x:v>50.23</x:v>
      </x:c>
      <x:c r="H66" s="9" t="n">
        <x:v>2566100.6</x:v>
      </x:c>
      <x:c r="I66" s="9" t="n">
        <x:v>1789146.4999999998</x:v>
      </x:c>
      <x:c r="J66" s="8" t="n">
        <x:v>2.5121949677419355</x:v>
      </x:c>
      <x:c r="K66" s="8"/>
      <x:c r="L66" s="8"/>
      <x:c r="M66" s="3" t="str">
        <x:v>Not available</x:v>
      </x:c>
    </x:row>
    <x:row r="67">
      <x:c r="A67" s="7" t="n">
        <x:v>38504</x:v>
      </x:c>
      <x:c r="B67" s="8" t="n">
        <x:v>8.697276544210924</x:v>
      </x:c>
      <x:c r="C67" s="8"/>
      <x:c r="D67" s="8"/>
      <x:c r="E67" s="8" t="n">
        <x:v>13</x:v>
      </x:c>
      <x:c r="F67" s="8" t="n">
        <x:v>141.85</x:v>
      </x:c>
      <x:c r="G67" s="8" t="n">
        <x:v>55.93</x:v>
      </x:c>
      <x:c r="H67" s="9" t="n">
        <x:v>2691296.952</x:v>
      </x:c>
      <x:c r="I67" s="9" t="n">
        <x:v>1840766.4</x:v>
      </x:c>
      <x:c r="J67" s="8" t="n">
        <x:v>2.5141146666666665</x:v>
      </x:c>
      <x:c r="K67" s="8"/>
      <x:c r="L67" s="8"/>
      <x:c r="M67" s="3" t="str">
        <x:v>Not available</x:v>
      </x:c>
    </x:row>
    <x:row r="68">
      <x:c r="A68" s="7" t="n">
        <x:v>38534</x:v>
      </x:c>
      <x:c r="B68" s="8" t="n">
        <x:v>9.342651010565133</x:v>
      </x:c>
      <x:c r="C68" s="8"/>
      <x:c r="D68" s="8"/>
      <x:c r="E68" s="8" t="n">
        <x:v>13</x:v>
      </x:c>
      <x:c r="F68" s="8" t="n">
        <x:v>143.94</x:v>
      </x:c>
      <x:c r="G68" s="8" t="n">
        <x:v>58.4</x:v>
      </x:c>
      <x:c r="H68" s="9" t="n">
        <x:v>2803529.59</x:v>
      </x:c>
      <x:c r="I68" s="9" t="n">
        <x:v>1907742.7999999998</x:v>
      </x:c>
      <x:c r="J68" s="8" t="n">
        <x:v>2.5095156774193548</x:v>
      </x:c>
      <x:c r="K68" s="8"/>
      <x:c r="L68" s="8"/>
      <x:c r="M68" s="3" t="str">
        <x:v>Not available</x:v>
      </x:c>
    </x:row>
    <x:row r="69">
      <x:c r="A69" s="7" t="n">
        <x:v>38565</x:v>
      </x:c>
      <x:c r="B69" s="8" t="n">
        <x:v>9.574276884379758</x:v>
      </x:c>
      <x:c r="C69" s="8"/>
      <x:c r="D69" s="8"/>
      <x:c r="E69" s="8" t="n">
        <x:v>13</x:v>
      </x:c>
      <x:c r="F69" s="8" t="n">
        <x:v>145.82</x:v>
      </x:c>
      <x:c r="G69" s="8" t="n">
        <x:v>65.49</x:v>
      </x:c>
      <x:c r="H69" s="9" t="n">
        <x:v>2775685.6</x:v>
      </x:c>
      <x:c r="I69" s="9" t="n">
        <x:v>1940462.3000000003</x:v>
      </x:c>
      <x:c r="J69" s="8" t="n">
        <x:v>2.5061789032258064</x:v>
      </x:c>
      <x:c r="K69" s="8"/>
      <x:c r="L69" s="8"/>
      <x:c r="M69" s="3" t="str">
        <x:v>Not available</x:v>
      </x:c>
    </x:row>
    <x:row r="70">
      <x:c r="A70" s="7" t="n">
        <x:v>38596</x:v>
      </x:c>
      <x:c r="B70" s="8" t="n">
        <x:v>9.403766016848675</x:v>
      </x:c>
      <x:c r="C70" s="8"/>
      <x:c r="D70" s="8"/>
      <x:c r="E70" s="8" t="n">
        <x:v>13</x:v>
      </x:c>
      <x:c r="F70" s="8" t="n">
        <x:v>145.8</x:v>
      </x:c>
      <x:c r="G70" s="8" t="n">
        <x:v>65.6</x:v>
      </x:c>
      <x:c r="H70" s="9" t="n">
        <x:v>2772993.1</x:v>
      </x:c>
      <x:c r="I70" s="9" t="n">
        <x:v>1986211.203</x:v>
      </x:c>
      <x:c r="J70" s="8" t="n">
        <x:v>2.5836927666666667</x:v>
      </x:c>
      <x:c r="K70" s="8"/>
      <x:c r="L70" s="8"/>
      <x:c r="M70" s="3" t="str">
        <x:v>Not available</x:v>
      </x:c>
    </x:row>
    <x:row r="71">
      <x:c r="A71" s="7" t="n">
        <x:v>38626</x:v>
      </x:c>
      <x:c r="B71" s="8" t="n">
        <x:v>9.179473943788073</x:v>
      </x:c>
      <x:c r="C71" s="8"/>
      <x:c r="D71" s="8"/>
      <x:c r="E71" s="8" t="n">
        <x:v>13</x:v>
      </x:c>
      <x:c r="F71" s="8" t="n">
        <x:v>144.99</x:v>
      </x:c>
      <x:c r="G71" s="8" t="n">
        <x:v>60.74</x:v>
      </x:c>
      <x:c r="H71" s="9" t="n">
        <x:v>2699799.627</x:v>
      </x:c>
      <x:c r="I71" s="9" t="n">
        <x:v>1937031.3</x:v>
      </x:c>
      <x:c r="J71" s="8" t="n">
        <x:v>2.5512479032258066</x:v>
      </x:c>
      <x:c r="K71" s="8"/>
      <x:c r="L71" s="8"/>
      <x:c r="M71" s="3" t="str">
        <x:v>Not available</x:v>
      </x:c>
    </x:row>
    <x:row r="72">
      <x:c r="A72" s="7" t="n">
        <x:v>38657</x:v>
      </x:c>
      <x:c r="B72" s="8" t="n">
        <x:v>8.976572122926713</x:v>
      </x:c>
      <x:c r="C72" s="8"/>
      <x:c r="D72" s="8"/>
      <x:c r="E72" s="8" t="n">
        <x:v>13</x:v>
      </x:c>
      <x:c r="F72" s="8" t="n">
        <x:v>143.94</x:v>
      </x:c>
      <x:c r="G72" s="8" t="n">
        <x:v>57.18</x:v>
      </x:c>
      <x:c r="H72" s="9" t="n">
        <x:v>2664644.8</x:v>
      </x:c>
      <x:c r="I72" s="9" t="n">
        <x:v>2031565.4000000001</x:v>
      </x:c>
      <x:c r="J72" s="8" t="n">
        <x:v>2.571397166666667</x:v>
      </x:c>
      <x:c r="K72" s="8"/>
      <x:c r="L72" s="8"/>
      <x:c r="M72" s="3" t="str">
        <x:v>Not available</x:v>
      </x:c>
    </x:row>
    <x:row r="73">
      <x:c r="A73" s="7" t="n">
        <x:v>38687</x:v>
      </x:c>
      <x:c r="B73" s="8" t="n">
        <x:v>8.84334140922859</x:v>
      </x:c>
      <x:c r="C73" s="8"/>
      <x:c r="D73" s="8"/>
      <x:c r="E73" s="8" t="n">
        <x:v>13</x:v>
      </x:c>
      <x:c r="F73" s="8" t="n">
        <x:v>141.93</x:v>
      </x:c>
      <x:c r="G73" s="8" t="n">
        <x:v>57.91</x:v>
      </x:c>
      <x:c r="H73" s="9" t="n">
        <x:v>2814846.079</x:v>
      </x:c>
      <x:c r="I73" s="9" t="n">
        <x:v>2007355.82</x:v>
      </x:c>
      <x:c r="J73" s="8" t="n">
        <x:v>2.6077617419354837</x:v>
      </x:c>
      <x:c r="K73" s="8"/>
      <x:c r="L73" s="8"/>
      <x:c r="M73" s="3" t="str">
        <x:v>Not available</x:v>
      </x:c>
    </x:row>
    <x:row r="74">
      <x:c r="A74" s="7" t="n">
        <x:v>38718</x:v>
      </x:c>
      <x:c r="B74" s="8" t="n">
        <x:v>8.852508660171122</x:v>
      </x:c>
      <x:c r="C74" s="8"/>
      <x:c r="D74" s="8"/>
      <x:c r="E74" s="8" t="n">
        <x:v>13</x:v>
      </x:c>
      <x:c r="F74" s="8" t="n">
        <x:v>144.09</x:v>
      </x:c>
      <x:c r="G74" s="8" t="n">
        <x:v>64.04</x:v>
      </x:c>
      <x:c r="H74" s="9" t="n">
        <x:v>2967139.46</x:v>
      </x:c>
      <x:c r="I74" s="9" t="n">
        <x:v>1981707.7240000002</x:v>
      </x:c>
      <x:c r="J74" s="8" t="n">
        <x:v>2.585233870967742</x:v>
      </x:c>
      <x:c r="K74" s="8"/>
      <x:c r="L74" s="8"/>
      <x:c r="M74" s="3" t="str">
        <x:v>Not available</x:v>
      </x:c>
    </x:row>
    <x:row r="75">
      <x:c r="A75" s="7" t="n">
        <x:v>38749</x:v>
      </x:c>
      <x:c r="B75" s="8" t="n">
        <x:v>8.994906624811776</x:v>
      </x:c>
      <x:c r="C75" s="8"/>
      <x:c r="D75" s="8"/>
      <x:c r="E75" s="8" t="n">
        <x:v>13</x:v>
      </x:c>
      <x:c r="F75" s="8" t="n">
        <x:v>145.4737</x:v>
      </x:c>
      <x:c r="G75" s="8" t="n">
        <x:v>62.12</x:v>
      </x:c>
      <x:c r="H75" s="9" t="n">
        <x:v>2227472.77</x:v>
      </x:c>
      <x:c r="I75" s="9" t="n">
        <x:v>1113895.938</x:v>
      </x:c>
      <x:c r="J75" s="8" t="n">
        <x:v>2.466668</x:v>
      </x:c>
      <x:c r="K75" s="8"/>
      <x:c r="L75" s="8"/>
      <x:c r="M75" s="3" t="str">
        <x:v>Not available</x:v>
      </x:c>
    </x:row>
    <x:row r="76">
      <x:c r="A76" s="7" t="n">
        <x:v>38777</x:v>
      </x:c>
      <x:c r="B76" s="8" t="n">
        <x:v>9.24425585044863</x:v>
      </x:c>
      <x:c r="C76" s="8"/>
      <x:c r="D76" s="8"/>
      <x:c r="E76" s="8" t="n">
        <x:v>13</x:v>
      </x:c>
      <x:c r="F76" s="8" t="n">
        <x:v>148.4565</x:v>
      </x:c>
      <x:c r="G76" s="8" t="n">
        <x:v>63.8</x:v>
      </x:c>
      <x:c r="H76" s="9" t="n">
        <x:v>3307667.852</x:v>
      </x:c>
      <x:c r="I76" s="9" t="n">
        <x:v>2126956.6286</x:v>
      </x:c>
      <x:c r="J76" s="8" t="n">
        <x:v>2.2462517741935484</x:v>
      </x:c>
      <x:c r="K76" s="8"/>
      <x:c r="L76" s="8"/>
      <x:c r="M76" s="3" t="str">
        <x:v>Not available</x:v>
      </x:c>
    </x:row>
    <x:row r="77">
      <x:c r="A77" s="7" t="n">
        <x:v>38808</x:v>
      </x:c>
      <x:c r="B77" s="8" t="n">
        <x:v>9.446546521247155</x:v>
      </x:c>
      <x:c r="C77" s="8"/>
      <x:c r="D77" s="8"/>
      <x:c r="E77" s="8" t="n">
        <x:v>13</x:v>
      </x:c>
      <x:c r="F77" s="8" t="n">
        <x:v>147.8472</x:v>
      </x:c>
      <x:c r="G77" s="8" t="n">
        <x:v>71.8</x:v>
      </x:c>
      <x:c r="H77" s="9" t="n">
        <x:v>3540703.582</x:v>
      </x:c>
      <x:c r="I77" s="9" t="n">
        <x:v>2173758.907</x:v>
      </x:c>
      <x:c r="J77" s="8" t="n">
        <x:v>2.3184545333333335</x:v>
      </x:c>
      <x:c r="K77" s="8"/>
      <x:c r="L77" s="8"/>
      <x:c r="M77" s="3" t="str">
        <x:v>Not available</x:v>
      </x:c>
    </x:row>
    <x:row r="78">
      <x:c r="A78" s="7" t="n">
        <x:v>38838</x:v>
      </x:c>
      <x:c r="B78" s="8" t="n">
        <x:v>9.45388032200118</x:v>
      </x:c>
      <x:c r="C78" s="8"/>
      <x:c r="D78" s="8"/>
      <x:c r="E78" s="8" t="n">
        <x:v>13</x:v>
      </x:c>
      <x:c r="F78" s="8" t="n">
        <x:v>142.3261</x:v>
      </x:c>
      <x:c r="G78" s="8" t="n">
        <x:v>71.75</x:v>
      </x:c>
      <x:c r="H78" s="9" t="n">
        <x:v>3684404.496</x:v>
      </x:c>
      <x:c r="I78" s="9" t="n">
        <x:v>2351085.9189999998</x:v>
      </x:c>
      <x:c r="J78" s="8" t="n">
        <x:v>2.2843940967741934</x:v>
      </x:c>
      <x:c r="K78" s="8"/>
      <x:c r="L78" s="8"/>
      <x:c r="M78" s="3" t="str">
        <x:v>Not available</x:v>
      </x:c>
    </x:row>
    <x:row r="79">
      <x:c r="A79" s="7" t="n">
        <x:v>38869</x:v>
      </x:c>
      <x:c r="B79" s="8" t="n">
        <x:v>9.435545820116117</x:v>
      </x:c>
      <x:c r="C79" s="8"/>
      <x:c r="D79" s="8"/>
      <x:c r="E79" s="8" t="n">
        <x:v>14</x:v>
      </x:c>
      <x:c r="F79" s="8" t="n">
        <x:v>136.8182</x:v>
      </x:c>
      <x:c r="G79" s="8" t="n">
        <x:v>70.22</x:v>
      </x:c>
      <x:c r="H79" s="9" t="n">
        <x:v>3911821.508</x:v>
      </x:c>
      <x:c r="I79" s="9" t="n">
        <x:v>2303700.5190000003</x:v>
      </x:c>
      <x:c r="J79" s="8" t="n">
        <x:v>2.4085072666666667</x:v>
      </x:c>
      <x:c r="K79" s="8"/>
      <x:c r="L79" s="8"/>
      <x:c r="M79" s="3" t="str">
        <x:v>Not available</x:v>
      </x:c>
    </x:row>
    <x:row r="80">
      <x:c r="A80" s="7" t="n">
        <x:v>38899</x:v>
      </x:c>
      <x:c r="B80" s="8" t="n">
        <x:v>9.623168889406593</x:v>
      </x:c>
      <x:c r="C80" s="8"/>
      <x:c r="D80" s="8"/>
      <x:c r="E80" s="8" t="n">
        <x:v>14</x:v>
      </x:c>
      <x:c r="F80" s="8" t="n">
        <x:v>130.119</x:v>
      </x:c>
      <x:c r="G80" s="8" t="n">
        <x:v>75.49</x:v>
      </x:c>
      <x:c r="H80" s="9" t="n">
        <x:v>4109850.422</x:v>
      </x:c>
      <x:c r="I80" s="9" t="n">
        <x:v>2384795.352</x:v>
      </x:c>
      <x:c r="J80" s="8" t="n">
        <x:v>2.3917636451612903</x:v>
      </x:c>
      <x:c r="K80" s="8"/>
      <x:c r="L80" s="8"/>
      <x:c r="M80" s="3" t="str">
        <x:v>Not available</x:v>
      </x:c>
    </x:row>
    <x:row r="81">
      <x:c r="A81" s="7" t="n">
        <x:v>38930</x:v>
      </x:c>
      <x:c r="B81" s="8" t="n">
        <x:v>9.933021971264152</x:v>
      </x:c>
      <x:c r="C81" s="8"/>
      <x:c r="D81" s="8"/>
      <x:c r="E81" s="8" t="n">
        <x:v>14</x:v>
      </x:c>
      <x:c r="F81" s="8" t="n">
        <x:v>130.4565</x:v>
      </x:c>
      <x:c r="G81" s="8" t="n">
        <x:v>75.29</x:v>
      </x:c>
      <x:c r="H81" s="9" t="n">
        <x:v>4189053.522</x:v>
      </x:c>
      <x:c r="I81" s="9" t="n">
        <x:v>2542805.2090000003</x:v>
      </x:c>
      <x:c r="J81" s="8" t="n">
        <x:v>2.402236935483871</x:v>
      </x:c>
      <x:c r="K81" s="8"/>
      <x:c r="L81" s="8"/>
      <x:c r="M81" s="3" t="str">
        <x:v>Not available</x:v>
      </x:c>
    </x:row>
    <x:row r="82">
      <x:c r="A82" s="7" t="n">
        <x:v>38961</x:v>
      </x:c>
      <x:c r="B82" s="8" t="n">
        <x:v>9.991692377296355</x:v>
      </x:c>
      <x:c r="C82" s="8"/>
      <x:c r="D82" s="8"/>
      <x:c r="E82" s="8" t="n">
        <x:v>14</x:v>
      </x:c>
      <x:c r="F82" s="8" t="n">
        <x:v>130.21</x:v>
      </x:c>
      <x:c r="G82" s="8" t="n">
        <x:v>63.87</x:v>
      </x:c>
      <x:c r="H82" s="9" t="n">
        <x:v>4320672.341</x:v>
      </x:c>
      <x:c r="I82" s="9" t="n">
        <x:v>2571678.0488217003</x:v>
      </x:c>
      <x:c r="J82" s="8" t="n">
        <x:v>2.3999655333333334</x:v>
      </x:c>
      <x:c r="K82" s="8"/>
      <x:c r="L82" s="8"/>
      <x:c r="M82" s="3" t="str">
        <x:v>Not available</x:v>
      </x:c>
    </x:row>
    <x:row r="83">
      <x:c r="A83" s="7" t="n">
        <x:v>38991</x:v>
      </x:c>
      <x:c r="B83" s="8" t="n">
        <x:v>9.741732001596663</x:v>
      </x:c>
      <x:c r="C83" s="8"/>
      <x:c r="D83" s="8"/>
      <x:c r="E83" s="8" t="n">
        <x:v>14</x:v>
      </x:c>
      <x:c r="F83" s="8" t="n">
        <x:v>130.2955</x:v>
      </x:c>
      <x:c r="G83" s="8" t="n">
        <x:v>58.75</x:v>
      </x:c>
      <x:c r="H83" s="9" t="n">
        <x:v>4730662.829</x:v>
      </x:c>
      <x:c r="I83" s="9" t="n">
        <x:v>2633999.40278673</x:v>
      </x:c>
      <x:c r="J83" s="8" t="n">
        <x:v>2.3813770322580643</x:v>
      </x:c>
      <x:c r="K83" s="8"/>
      <x:c r="L83" s="8"/>
      <x:c r="M83" s="3" t="str">
        <x:v>Not available</x:v>
      </x:c>
    </x:row>
    <x:row r="84">
      <x:c r="A84" s="7" t="n">
        <x:v>39022</x:v>
      </x:c>
      <x:c r="B84" s="8" t="n">
        <x:v>9.673283194559097</x:v>
      </x:c>
      <x:c r="C84" s="8"/>
      <x:c r="D84" s="8"/>
      <x:c r="E84" s="8" t="n">
        <x:v>14</x:v>
      </x:c>
      <x:c r="F84" s="8" t="n">
        <x:v>129.8182</x:v>
      </x:c>
      <x:c r="G84" s="8" t="n">
        <x:v>60.32</x:v>
      </x:c>
      <x:c r="H84" s="9" t="n">
        <x:v>4557557.227</x:v>
      </x:c>
      <x:c r="I84" s="9" t="n">
        <x:v>2652207.99393726</x:v>
      </x:c>
      <x:c r="J84" s="8" t="n">
        <x:v>2.3377528666666665</x:v>
      </x:c>
      <x:c r="K84" s="8"/>
      <x:c r="L84" s="8"/>
      <x:c r="M84" s="3" t="str">
        <x:v>Not available</x:v>
      </x:c>
    </x:row>
    <x:row r="85">
      <x:c r="A85" s="7" t="n">
        <x:v>39052</x:v>
      </x:c>
      <x:c r="B85" s="8" t="n">
        <x:v>9.59933403695601</x:v>
      </x:c>
      <x:c r="C85" s="8"/>
      <x:c r="D85" s="8"/>
      <x:c r="E85" s="8" t="n">
        <x:v>10</x:v>
      </x:c>
      <x:c r="F85" s="8" t="n">
        <x:v>129.3158</x:v>
      </x:c>
      <x:c r="G85" s="8" t="n">
        <x:v>64.28</x:v>
      </x:c>
      <x:c r="H85" s="9" t="n">
        <x:v>4027901.696</x:v>
      </x:c>
      <x:c r="I85" s="9" t="n">
        <x:v>2650821.45491429</x:v>
      </x:c>
      <x:c r="J85" s="8" t="n">
        <x:v>2.3600134838709677</x:v>
      </x:c>
      <x:c r="K85" s="8"/>
      <x:c r="L85" s="8"/>
      <x:c r="M85" s="3" t="str">
        <x:v>Not available</x:v>
      </x:c>
    </x:row>
    <x:row r="86">
      <x:c r="A86" s="7" t="n">
        <x:v>39083</x:v>
      </x:c>
      <x:c r="B86" s="8" t="n">
        <x:v>9.558386982746038</x:v>
      </x:c>
      <x:c r="C86" s="8"/>
      <x:c r="D86" s="8"/>
      <x:c r="E86" s="8" t="n">
        <x:v>10</x:v>
      </x:c>
      <x:c r="F86" s="8" t="n">
        <x:v>130.04347826086956</x:v>
      </x:c>
      <x:c r="G86" s="8" t="n">
        <x:v>56.18</x:v>
      </x:c>
      <x:c r="H86" s="9" t="n">
        <x:v>3900134.742</x:v>
      </x:c>
      <x:c r="I86" s="9" t="n">
        <x:v>2336212.0166853196</x:v>
      </x:c>
      <x:c r="J86" s="8" t="n">
        <x:v>2.3195569354838708</x:v>
      </x:c>
      <x:c r="K86" s="8"/>
      <x:c r="L86" s="8"/>
      <x:c r="M86" s="3" t="str">
        <x:v>Not available</x:v>
      </x:c>
    </x:row>
    <x:row r="87">
      <x:c r="A87" s="7" t="n">
        <x:v>39114</x:v>
      </x:c>
      <x:c r="B87" s="8" t="n">
        <x:v>9.631724990286287</x:v>
      </x:c>
      <x:c r="C87" s="8"/>
      <x:c r="D87" s="8"/>
      <x:c r="E87" s="8" t="n">
        <x:v>10</x:v>
      </x:c>
      <x:c r="F87" s="8" t="n">
        <x:v>130</x:v>
      </x:c>
      <x:c r="G87" s="8" t="n">
        <x:v>59.58</x:v>
      </x:c>
      <x:c r="H87" s="9" t="n">
        <x:v>4122142.01</x:v>
      </x:c>
      <x:c r="I87" s="9" t="n">
        <x:v>2371289.8664719197</x:v>
      </x:c>
      <x:c r="J87" s="8" t="n">
        <x:v>2.3125055714285714</x:v>
      </x:c>
      <x:c r="K87" s="8"/>
      <x:c r="L87" s="8"/>
      <x:c r="M87" s="3" t="str">
        <x:v>Not available</x:v>
      </x:c>
    </x:row>
    <x:row r="88">
      <x:c r="A88" s="7" t="n">
        <x:v>39142</x:v>
      </x:c>
      <x:c r="B88" s="8" t="n">
        <x:v>9.729509000339954</x:v>
      </x:c>
      <x:c r="C88" s="8"/>
      <x:c r="D88" s="8"/>
      <x:c r="E88" s="8" t="n">
        <x:v>10</x:v>
      </x:c>
      <x:c r="F88" s="8" t="n">
        <x:v>129.3409090909091</x:v>
      </x:c>
      <x:c r="G88" s="8" t="n">
        <x:v>64.6</x:v>
      </x:c>
      <x:c r="H88" s="9" t="n">
        <x:v>4798317.356</x:v>
      </x:c>
      <x:c r="I88" s="9" t="n">
        <x:v>3048942.3472288004</x:v>
      </x:c>
      <x:c r="J88" s="8" t="n">
        <x:v>2.1360102258064515</x:v>
      </x:c>
      <x:c r="K88" s="8"/>
      <x:c r="L88" s="8"/>
      <x:c r="M88" s="3" t="str">
        <x:v>Not available</x:v>
      </x:c>
    </x:row>
    <x:row r="89">
      <x:c r="A89" s="7" t="n">
        <x:v>39173</x:v>
      </x:c>
      <x:c r="B89" s="8" t="n">
        <x:v>9.845627512278686</x:v>
      </x:c>
      <x:c r="C89" s="8"/>
      <x:c r="D89" s="8"/>
      <x:c r="E89" s="8" t="n">
        <x:v>10</x:v>
      </x:c>
      <x:c r="F89" s="8" t="n">
        <x:v>129</x:v>
      </x:c>
      <x:c r="G89" s="8" t="n">
        <x:v>70.01</x:v>
      </x:c>
      <x:c r="H89" s="9" t="n">
        <x:v>5052863.288</x:v>
      </x:c>
      <x:c r="I89" s="9" t="n">
        <x:v>3211550.99559186</x:v>
      </x:c>
      <x:c r="J89" s="8" t="n">
        <x:v>2.1556468</x:v>
      </x:c>
      <x:c r="K89" s="8"/>
      <x:c r="L89" s="8"/>
      <x:c r="M89" s="3" t="str">
        <x:v>Not available</x:v>
      </x:c>
    </x:row>
    <x:row r="90">
      <x:c r="A90" s="7" t="n">
        <x:v>39203</x:v>
      </x:c>
      <x:c r="B90" s="8" t="n">
        <x:v>9.89207491705418</x:v>
      </x:c>
      <x:c r="C90" s="8"/>
      <x:c r="D90" s="8"/>
      <x:c r="E90" s="8" t="n">
        <x:v>10</x:v>
      </x:c>
      <x:c r="F90" s="8" t="n">
        <x:v>129.1590909090909</x:v>
      </x:c>
      <x:c r="G90" s="8" t="n">
        <x:v>70.03</x:v>
      </x:c>
      <x:c r="H90" s="9" t="n">
        <x:v>4909220.602</x:v>
      </x:c>
      <x:c r="I90" s="9" t="n">
        <x:v>3425313.23039198</x:v>
      </x:c>
      <x:c r="J90" s="8" t="n">
        <x:v>1.956432935483871</x:v>
      </x:c>
      <x:c r="K90" s="8"/>
      <x:c r="L90" s="8"/>
      <x:c r="M90" s="3" t="str">
        <x:v>Not available</x:v>
      </x:c>
    </x:row>
    <x:row r="91">
      <x:c r="A91" s="7" t="n">
        <x:v>39234</x:v>
      </x:c>
      <x:c r="B91" s="8" t="n">
        <x:v>10.042417832511694</x:v>
      </x:c>
      <x:c r="C91" s="8"/>
      <x:c r="D91" s="8"/>
      <x:c r="E91" s="8" t="n">
        <x:v>8</x:v>
      </x:c>
      <x:c r="F91" s="8" t="n">
        <x:v>128.3181818181818</x:v>
      </x:c>
      <x:c r="G91" s="8" t="n">
        <x:v>74.45</x:v>
      </x:c>
      <x:c r="H91" s="9" t="n">
        <x:v>5116246.716</x:v>
      </x:c>
      <x:c r="I91" s="9" t="n">
        <x:v>3503722.9685123996</x:v>
      </x:c>
      <x:c r="J91" s="8" t="n">
        <x:v>2.0811242333333335</x:v>
      </x:c>
      <x:c r="K91" s="8"/>
      <x:c r="L91" s="8"/>
      <x:c r="M91" s="3" t="str">
        <x:v>Not available</x:v>
      </x:c>
    </x:row>
    <x:row r="92">
      <x:c r="A92" s="7" t="n">
        <x:v>39264</x:v>
      </x:c>
      <x:c r="B92" s="8" t="n">
        <x:v>10.08825408722435</x:v>
      </x:c>
      <x:c r="C92" s="8"/>
      <x:c r="D92" s="8"/>
      <x:c r="E92" s="8" t="n">
        <x:v>8</x:v>
      </x:c>
      <x:c r="F92" s="8" t="n">
        <x:v>127.52272727272727</x:v>
      </x:c>
      <x:c r="G92" s="8" t="n">
        <x:v>79.21</x:v>
      </x:c>
      <x:c r="H92" s="9" t="n">
        <x:v>5130160.157</x:v>
      </x:c>
      <x:c r="I92" s="9" t="n">
        <x:v>3829247.06116549</x:v>
      </x:c>
      <x:c r="J92" s="8" t="n">
        <x:v>2.1722010967741934</x:v>
      </x:c>
      <x:c r="K92" s="8"/>
      <x:c r="L92" s="8"/>
      <x:c r="M92" s="3" t="str">
        <x:v>Not available</x:v>
      </x:c>
    </x:row>
    <x:row r="93">
      <x:c r="A93" s="7" t="n">
        <x:v>39295</x:v>
      </x:c>
      <x:c r="B93" s="8" t="n">
        <x:v>10.351048614243583</x:v>
      </x:c>
      <x:c r="C93" s="8"/>
      <x:c r="D93" s="8"/>
      <x:c r="E93" s="8" t="n">
        <x:v>8</x:v>
      </x:c>
      <x:c r="F93" s="8" t="n">
        <x:v>127.3913043478261</x:v>
      </x:c>
      <x:c r="G93" s="8" t="n">
        <x:v>73.34</x:v>
      </x:c>
      <x:c r="H93" s="9" t="n">
        <x:v>5550488.273</x:v>
      </x:c>
      <x:c r="I93" s="9" t="n">
        <x:v>3909449.6801739596</x:v>
      </x:c>
      <x:c r="J93" s="8" t="n">
        <x:v>2.1976056774193546</x:v>
      </x:c>
      <x:c r="K93" s="8"/>
      <x:c r="L93" s="8"/>
      <x:c r="M93" s="3" t="str">
        <x:v>Not available</x:v>
      </x:c>
    </x:row>
    <x:row r="94">
      <x:c r="A94" s="7" t="n">
        <x:v>39326</x:v>
      </x:c>
      <x:c r="B94" s="8" t="n">
        <x:v>10.402996369584594</x:v>
      </x:c>
      <x:c r="C94" s="8"/>
      <x:c r="D94" s="8"/>
      <x:c r="E94" s="8" t="n">
        <x:v>8</x:v>
      </x:c>
      <x:c r="F94" s="8" t="n">
        <x:v>126.5</x:v>
      </x:c>
      <x:c r="G94" s="8" t="n">
        <x:v>79.87</x:v>
      </x:c>
      <x:c r="H94" s="9" t="n">
        <x:v>5672622.436</x:v>
      </x:c>
      <x:c r="I94" s="9" t="n">
        <x:v>4203169.47976185</x:v>
      </x:c>
      <x:c r="J94" s="8" t="n">
        <x:v>2.307217233333333</x:v>
      </x:c>
      <x:c r="K94" s="8"/>
      <x:c r="L94" s="8"/>
      <x:c r="M94" s="3" t="str">
        <x:v>Not available</x:v>
      </x:c>
    </x:row>
    <x:row r="95">
      <x:c r="A95" s="7" t="n">
        <x:v>39356</x:v>
      </x:c>
      <x:c r="B95" s="8" t="n">
        <x:v>10.185426947215182</x:v>
      </x:c>
      <x:c r="C95" s="8"/>
      <x:c r="D95" s="8"/>
      <x:c r="E95" s="8" t="n">
        <x:v>9</x:v>
      </x:c>
      <x:c r="F95" s="8" t="n">
        <x:v>126.5</x:v>
      </x:c>
      <x:c r="G95" s="8" t="n">
        <x:v>85.6</x:v>
      </x:c>
      <x:c r="H95" s="9" t="n">
        <x:v>5585227.75</x:v>
      </x:c>
      <x:c r="I95" s="9" t="n">
        <x:v>4415556.4203173695</x:v>
      </x:c>
      <x:c r="J95" s="8" t="n">
        <x:v>2.322266838709677</x:v>
      </x:c>
      <x:c r="K95" s="8"/>
      <x:c r="L95" s="8"/>
      <x:c r="M95" s="3" t="str">
        <x:v>Not available</x:v>
      </x:c>
    </x:row>
    <x:row r="96">
      <x:c r="A96" s="7" t="n">
        <x:v>39387</x:v>
      </x:c>
      <x:c r="B96" s="8" t="n">
        <x:v>10.172592795895637</x:v>
      </x:c>
      <x:c r="C96" s="8"/>
      <x:c r="D96" s="8"/>
      <x:c r="E96" s="8" t="n">
        <x:v>9</x:v>
      </x:c>
      <x:c r="F96" s="8" t="n">
        <x:v>123.79545454545455</x:v>
      </x:c>
      <x:c r="G96" s="8" t="n">
        <x:v>95.32</x:v>
      </x:c>
      <x:c r="H96" s="9" t="n">
        <x:v>5881558.616</x:v>
      </x:c>
      <x:c r="I96" s="9" t="n">
        <x:v>4712718.921461441</x:v>
      </x:c>
      <x:c r="J96" s="8" t="n">
        <x:v>2.2456450333333335</x:v>
      </x:c>
      <x:c r="K96" s="8"/>
      <x:c r="L96" s="8"/>
      <x:c r="M96" s="3" t="str">
        <x:v>Not available</x:v>
      </x:c>
    </x:row>
    <x:row r="97">
      <x:c r="A97" s="7" t="n">
        <x:v>39417</x:v>
      </x:c>
      <x:c r="B97" s="8" t="n">
        <x:v>10.229429751739332</x:v>
      </x:c>
      <x:c r="C97" s="8"/>
      <x:c r="D97" s="8"/>
      <x:c r="E97" s="8" t="n">
        <x:v>9.5</x:v>
      </x:c>
      <x:c r="F97" s="8" t="n">
        <x:v>121.38731060606061</x:v>
      </x:c>
      <x:c r="G97" s="8" t="n">
        <x:v>93.55</x:v>
      </x:c>
      <x:c r="H97" s="9" t="n">
        <x:v>5809826.481</x:v>
      </x:c>
      <x:c r="I97" s="9" t="n">
        <x:v>5550611.12348314</x:v>
      </x:c>
      <x:c r="J97" s="8" t="n">
        <x:v>2.2043634838709676</x:v>
      </x:c>
      <x:c r="K97" s="8"/>
      <x:c r="L97" s="8"/>
      <x:c r="M97" s="3" t="str">
        <x:v>Not available</x:v>
      </x:c>
    </x:row>
    <x:row r="98">
      <x:c r="A98" s="7" t="n">
        <x:v>39448</x:v>
      </x:c>
      <x:c r="B98" s="8" t="n">
        <x:v>10.377328066945505</x:v>
      </x:c>
      <x:c r="C98" s="8"/>
      <x:c r="D98" s="8"/>
      <x:c r="E98" s="8" t="n">
        <x:v>9.5</x:v>
      </x:c>
      <x:c r="F98" s="8" t="n">
        <x:v>120.8043</x:v>
      </x:c>
      <x:c r="G98" s="8" t="n">
        <x:v>94.26</x:v>
      </x:c>
      <x:c r="H98" s="9" t="n">
        <x:v>6527673.015</x:v>
      </x:c>
      <x:c r="I98" s="9" t="n">
        <x:v>6139265.993951379</x:v>
      </x:c>
      <x:c r="J98" s="8" t="n">
        <x:v>2.1652352258064513</x:v>
      </x:c>
      <x:c r="K98" s="8"/>
      <x:c r="L98" s="8"/>
      <x:c r="M98" s="3" t="str">
        <x:v>Not available</x:v>
      </x:c>
    </x:row>
    <x:row r="99">
      <x:c r="A99" s="7" t="n">
        <x:v>39479</x:v>
      </x:c>
      <x:c r="B99" s="8" t="n">
        <x:v>10.404829819773099</x:v>
      </x:c>
      <x:c r="C99" s="8"/>
      <x:c r="D99" s="8"/>
      <x:c r="E99" s="8" t="n">
        <x:v>9.5</x:v>
      </x:c>
      <x:c r="F99" s="8" t="n">
        <x:v>119.5714</x:v>
      </x:c>
      <x:c r="G99" s="8" t="n">
        <x:v>98.15</x:v>
      </x:c>
      <x:c r="H99" s="9" t="n">
        <x:v>7016468.508</x:v>
      </x:c>
      <x:c r="I99" s="9" t="n">
        <x:v>6809348.426268829</x:v>
      </x:c>
      <x:c r="J99" s="8" t="n">
        <x:v>2.156463464285714</x:v>
      </x:c>
      <x:c r="K99" s="8"/>
      <x:c r="L99" s="8"/>
      <x:c r="M99" s="3" t="str">
        <x:v>Not available</x:v>
      </x:c>
    </x:row>
    <x:row r="100">
      <x:c r="A100" s="7" t="n">
        <x:v>39508</x:v>
      </x:c>
      <x:c r="B100" s="8" t="n">
        <x:v>10.486112778130211</x:v>
      </x:c>
      <x:c r="C100" s="8"/>
      <x:c r="D100" s="8"/>
      <x:c r="E100" s="8" t="n">
        <x:v>9.5</x:v>
      </x:c>
      <x:c r="F100" s="8" t="n">
        <x:v>119</x:v>
      </x:c>
      <x:c r="G100" s="8" t="n">
        <x:v>103.73</x:v>
      </x:c>
      <x:c r="H100" s="9" t="n">
        <x:v>7998232.822</x:v>
      </x:c>
      <x:c r="I100" s="9" t="n">
        <x:v>6917150.914748279</x:v>
      </x:c>
      <x:c r="J100" s="8" t="n">
        <x:v>2.0645264193548387</x:v>
      </x:c>
      <x:c r="K100" s="8"/>
      <x:c r="L100" s="8"/>
      <x:c r="M100" s="3" t="str">
        <x:v>Not available</x:v>
      </x:c>
    </x:row>
    <x:row r="101">
      <x:c r="A101" s="7" t="n">
        <x:v>39539</x:v>
      </x:c>
      <x:c r="B101" s="8" t="n">
        <x:v>10.649900994970103</x:v>
      </x:c>
      <x:c r="C101" s="8"/>
      <x:c r="D101" s="8"/>
      <x:c r="E101" s="8" t="n">
        <x:v>10</x:v>
      </x:c>
      <x:c r="F101" s="8" t="n">
        <x:v>118.9273</x:v>
      </x:c>
      <x:c r="G101" s="8" t="n">
        <x:v>116.73</x:v>
      </x:c>
      <x:c r="H101" s="9" t="n">
        <x:v>7805093.549</x:v>
      </x:c>
      <x:c r="I101" s="9" t="n">
        <x:v>7607820.3617029805</x:v>
      </x:c>
      <x:c r="J101" s="8" t="n">
        <x:v>1.9634996</x:v>
      </x:c>
      <x:c r="K101" s="8"/>
      <x:c r="L101" s="8"/>
      <x:c r="M101" s="3" t="str">
        <x:v>Not available</x:v>
      </x:c>
    </x:row>
    <x:row r="102">
      <x:c r="A102" s="7" t="n">
        <x:v>39569</x:v>
      </x:c>
      <x:c r="B102" s="8" t="n">
        <x:v>10.851580515705795</x:v>
      </x:c>
      <x:c r="C102" s="8"/>
      <x:c r="D102" s="8"/>
      <x:c r="E102" s="8" t="n">
        <x:v>10</x:v>
      </x:c>
      <x:c r="F102" s="8" t="n">
        <x:v>118.8</x:v>
      </x:c>
      <x:c r="G102" s="8" t="n">
        <x:v>126.57</x:v>
      </x:c>
      <x:c r="H102" s="9" t="n">
        <x:v>7546333.69</x:v>
      </x:c>
      <x:c r="I102" s="9" t="n">
        <x:v>7691326.927125811</x:v>
      </x:c>
      <x:c r="J102" s="8" t="n">
        <x:v>2.0505474838709676</x:v>
      </x:c>
      <x:c r="K102" s="8"/>
      <x:c r="L102" s="8"/>
      <x:c r="M102" s="3" t="str">
        <x:v>Not available</x:v>
      </x:c>
    </x:row>
    <x:row r="103">
      <x:c r="A103" s="7" t="n">
        <x:v>39600</x:v>
      </x:c>
      <x:c r="B103" s="8" t="n">
        <x:v>11.252494956925835</x:v>
      </x:c>
      <x:c r="C103" s="8"/>
      <x:c r="D103" s="8"/>
      <x:c r="E103" s="8" t="n">
        <x:v>10.25</x:v>
      </x:c>
      <x:c r="F103" s="8" t="n">
        <x:v>118.6952</x:v>
      </x:c>
      <x:c r="G103" s="8" t="n">
        <x:v>138.74</x:v>
      </x:c>
      <x:c r="H103" s="9" t="n">
        <x:v>7948368.848</x:v>
      </x:c>
      <x:c r="I103" s="9" t="n">
        <x:v>7764490.2726274505</x:v>
      </x:c>
      <x:c r="J103" s="8" t="n">
        <x:v>2.0180907</x:v>
      </x:c>
      <x:c r="K103" s="8"/>
      <x:c r="L103" s="8"/>
      <x:c r="M103" s="3" t="str">
        <x:v>Not available</x:v>
      </x:c>
    </x:row>
    <x:row r="104">
      <x:c r="A104" s="7" t="n">
        <x:v>39630</x:v>
      </x:c>
      <x:c r="B104" s="8" t="n">
        <x:v>11.495732681934332</x:v>
      </x:c>
      <x:c r="C104" s="8"/>
      <x:c r="D104" s="8"/>
      <x:c r="E104" s="8" t="n">
        <x:v>10.25</x:v>
      </x:c>
      <x:c r="F104" s="8" t="n">
        <x:v>119</x:v>
      </x:c>
      <x:c r="G104" s="8" t="n">
        <x:v>137.74</x:v>
      </x:c>
      <x:c r="H104" s="9" t="n">
        <x:v>8067591.227</x:v>
      </x:c>
      <x:c r="I104" s="9" t="n">
        <x:v>8437223.872370489</x:v>
      </x:c>
      <x:c r="J104" s="8" t="n">
        <x:v>2.1318791612903225</x:v>
      </x:c>
      <x:c r="K104" s="8"/>
      <x:c r="L104" s="8"/>
      <x:c r="M104" s="3" t="str">
        <x:v>Not available</x:v>
      </x:c>
    </x:row>
    <x:row r="105">
      <x:c r="A105" s="7" t="n">
        <x:v>39661</x:v>
      </x:c>
      <x:c r="B105" s="8" t="n">
        <x:v>11.630185695758128</x:v>
      </x:c>
      <x:c r="C105" s="8"/>
      <x:c r="D105" s="8"/>
      <x:c r="E105" s="8" t="n">
        <x:v>10.25</x:v>
      </x:c>
      <x:c r="F105" s="8" t="n">
        <x:v>119</x:v>
      </x:c>
      <x:c r="G105" s="8" t="n">
        <x:v>115.84</x:v>
      </x:c>
      <x:c r="H105" s="9" t="n">
        <x:v>8335290.509</x:v>
      </x:c>
      <x:c r="I105" s="9" t="n">
        <x:v>8419610.02008518</x:v>
      </x:c>
      <x:c r="J105" s="8" t="n">
        <x:v>2.10502</x:v>
      </x:c>
      <x:c r="K105" s="8"/>
      <x:c r="L105" s="8"/>
      <x:c r="M105" s="3" t="str">
        <x:v>Not available</x:v>
      </x:c>
    </x:row>
    <x:row r="106">
      <x:c r="A106" s="7" t="n">
        <x:v>39692</x:v>
      </x:c>
      <x:c r="B106" s="8" t="n">
        <x:v>11.757916058890727</x:v>
      </x:c>
      <x:c r="C106" s="8"/>
      <x:c r="D106" s="8"/>
      <x:c r="E106" s="8" t="n">
        <x:v>9.75</x:v>
      </x:c>
      <x:c r="F106" s="8" t="n">
        <x:v>119</x:v>
      </x:c>
      <x:c r="G106" s="8" t="n">
        <x:v>103.82</x:v>
      </x:c>
      <x:c r="H106" s="9" t="n">
        <x:v>8960287.728</x:v>
      </x:c>
      <x:c r="I106" s="9" t="n">
        <x:v>8527429.592076961</x:v>
      </x:c>
      <x:c r="J106" s="8" t="n">
        <x:v>2.1719297</x:v>
      </x:c>
      <x:c r="K106" s="8"/>
      <x:c r="L106" s="8"/>
      <x:c r="M106" s="3" t="str">
        <x:v>Not available</x:v>
      </x:c>
    </x:row>
    <x:row r="107">
      <x:c r="A107" s="7" t="n">
        <x:v>39722</x:v>
      </x:c>
      <x:c r="B107" s="8" t="n">
        <x:v>11.68702265160182</x:v>
      </x:c>
      <x:c r="C107" s="8"/>
      <x:c r="D107" s="8"/>
      <x:c r="E107" s="8" t="n">
        <x:v>9.75</x:v>
      </x:c>
      <x:c r="F107" s="8" t="n">
        <x:v>119</x:v>
      </x:c>
      <x:c r="G107" s="8" t="n">
        <x:v>75.31</x:v>
      </x:c>
      <x:c r="H107" s="9" t="n">
        <x:v>8339115.475</x:v>
      </x:c>
      <x:c r="I107" s="9" t="n">
        <x:v>8576032.47312595</x:v>
      </x:c>
      <x:c r="J107" s="8" t="n">
        <x:v>2.2647632258064516</x:v>
      </x:c>
      <x:c r="K107" s="8"/>
      <x:c r="L107" s="8"/>
      <x:c r="M107" s="3" t="str">
        <x:v>Not available</x:v>
      </x:c>
    </x:row>
    <x:row r="108">
      <x:c r="A108" s="7" t="n">
        <x:v>39753</x:v>
      </x:c>
      <x:c r="B108" s="8" t="n">
        <x:v>11.6815223010363</x:v>
      </x:c>
      <x:c r="C108" s="8"/>
      <x:c r="D108" s="8"/>
      <x:c r="E108" s="8" t="n">
        <x:v>9.75</x:v>
      </x:c>
      <x:c r="F108" s="8" t="n">
        <x:v>119.1</x:v>
      </x:c>
      <x:c r="G108" s="8" t="n">
        <x:v>55.51</x:v>
      </x:c>
      <x:c r="H108" s="9" t="n">
        <x:v>8387156.724</x:v>
      </x:c>
      <x:c r="I108" s="9" t="n">
        <x:v>8830573.1671956</x:v>
      </x:c>
      <x:c r="J108" s="8" t="n">
        <x:v>2.1399016666666664</x:v>
      </x:c>
      <x:c r="K108" s="8"/>
      <x:c r="L108" s="8"/>
      <x:c r="M108" s="3" t="str">
        <x:v>Not available</x:v>
      </x:c>
    </x:row>
    <x:row r="109">
      <x:c r="A109" s="7" t="n">
        <x:v>39783</x:v>
      </x:c>
      <x:c r="B109" s="8" t="n">
        <x:v>11.769527910084603</x:v>
      </x:c>
      <x:c r="C109" s="8"/>
      <x:c r="D109" s="8"/>
      <x:c r="E109" s="8" t="n">
        <x:v>9.75</x:v>
      </x:c>
      <x:c r="F109" s="8" t="n">
        <x:v>137.65</x:v>
      </x:c>
      <x:c r="G109" s="8" t="n">
        <x:v>45.87</x:v>
      </x:c>
      <x:c r="H109" s="9" t="n">
        <x:v>9166835.305</x:v>
      </x:c>
      <x:c r="I109" s="9" t="n">
        <x:v>9069360.304046448</x:v>
      </x:c>
      <x:c r="J109" s="8" t="n">
        <x:v>2.0426189677419355</x:v>
      </x:c>
      <x:c r="K109" s="8"/>
      <x:c r="L109" s="8"/>
      <x:c r="M109" s="3" t="str">
        <x:v>Not available</x:v>
      </x:c>
    </x:row>
    <x:row r="110">
      <x:c r="A110" s="7" t="n">
        <x:v>39814</x:v>
      </x:c>
      <x:c r="B110" s="8" t="n">
        <x:v>11.833698666682322</x:v>
      </x:c>
      <x:c r="C110" s="8"/>
      <x:c r="D110" s="8"/>
      <x:c r="E110" s="8" t="n">
        <x:v>9.75</x:v>
      </x:c>
      <x:c r="F110" s="8" t="n">
        <x:v>149.875</x:v>
      </x:c>
      <x:c r="G110" s="8" t="n">
        <x:v>44.95</x:v>
      </x:c>
      <x:c r="H110" s="9" t="n">
        <x:v>9294035.944</x:v>
      </x:c>
      <x:c r="I110" s="9" t="n">
        <x:v>9471598.097016051</x:v>
      </x:c>
      <x:c r="J110" s="8" t="n">
        <x:v>2.0336270967741936</x:v>
      </x:c>
      <x:c r="K110" s="8"/>
      <x:c r="L110" s="8"/>
      <x:c r="M110" s="3" t="str">
        <x:v>Not available</x:v>
      </x:c>
    </x:row>
    <x:row r="111">
      <x:c r="A111" s="7" t="n">
        <x:v>39845</x:v>
      </x:c>
      <x:c r="B111" s="8" t="n">
        <x:v>11.922315425793458</x:v>
      </x:c>
      <x:c r="C111" s="8"/>
      <x:c r="D111" s="8"/>
      <x:c r="E111" s="8" t="n">
        <x:v>9.75</x:v>
      </x:c>
      <x:c r="F111" s="8" t="n">
        <x:v>156.925</x:v>
      </x:c>
      <x:c r="G111" s="8" t="n">
        <x:v>46.52</x:v>
      </x:c>
      <x:c r="H111" s="9" t="n">
        <x:v>9087966.974</x:v>
      </x:c>
      <x:c r="I111" s="9" t="n">
        <x:v>9549618.37276579</x:v>
      </x:c>
      <x:c r="J111" s="8" t="n">
        <x:v>2.0558238214285716</x:v>
      </x:c>
      <x:c r="K111" s="8"/>
      <x:c r="L111" s="8"/>
      <x:c r="M111" s="3" t="str">
        <x:v>Not available</x:v>
      </x:c>
    </x:row>
    <x:row r="112">
      <x:c r="A112" s="7" t="n">
        <x:v>39873</x:v>
      </x:c>
      <x:c r="B112" s="8" t="n">
        <x:v>11.99259768301953</x:v>
      </x:c>
      <x:c r="C112" s="8"/>
      <x:c r="D112" s="8"/>
      <x:c r="E112" s="8" t="n">
        <x:v>9.75</x:v>
      </x:c>
      <x:c r="F112" s="8" t="n">
        <x:v>174.3182</x:v>
      </x:c>
      <x:c r="G112" s="8" t="n">
        <x:v>49.7</x:v>
      </x:c>
      <x:c r="H112" s="9" t="n">
        <x:v>8997817.254</x:v>
      </x:c>
      <x:c r="I112" s="9" t="n">
        <x:v>9236506.015077898</x:v>
      </x:c>
      <x:c r="J112" s="8" t="n">
        <x:v>2.066331193548387</x:v>
      </x:c>
      <x:c r="K112" s="8"/>
      <x:c r="L112" s="8"/>
      <x:c r="M112" s="3" t="str">
        <x:v>Not available</x:v>
      </x:c>
    </x:row>
    <x:row r="113">
      <x:c r="A113" s="7" t="n">
        <x:v>39904</x:v>
      </x:c>
      <x:c r="B113" s="8" t="n">
        <x:v>12.062879940245606</x:v>
      </x:c>
      <x:c r="C113" s="8"/>
      <x:c r="D113" s="8"/>
      <x:c r="E113" s="8" t="n">
        <x:v>8</x:v>
      </x:c>
      <x:c r="F113" s="8" t="n">
        <x:v>180.2727</x:v>
      </x:c>
      <x:c r="G113" s="8" t="n">
        <x:v>51.16</x:v>
      </x:c>
      <x:c r="H113" s="9" t="n">
        <x:v>9001008.091</x:v>
      </x:c>
      <x:c r="I113" s="9" t="n">
        <x:v>9419136.809577942</x:v>
      </x:c>
      <x:c r="J113" s="8" t="n">
        <x:v>1.860565</x:v>
      </x:c>
      <x:c r="K113" s="8"/>
      <x:c r="L113" s="8"/>
      <x:c r="M113" s="3" t="str">
        <x:v>Not available</x:v>
      </x:c>
    </x:row>
    <x:row r="114">
      <x:c r="A114" s="7" t="n">
        <x:v>39934</x:v>
      </x:c>
      <x:c r="B114" s="8" t="n">
        <x:v>12.285338563117701</x:v>
      </x:c>
      <x:c r="C114" s="8"/>
      <x:c r="D114" s="8"/>
      <x:c r="E114" s="8" t="n">
        <x:v>8</x:v>
      </x:c>
      <x:c r="F114" s="8" t="n">
        <x:v>180.6316</x:v>
      </x:c>
      <x:c r="G114" s="8" t="n">
        <x:v>60.02</x:v>
      </x:c>
      <x:c r="H114" s="9" t="n">
        <x:v>8720581.424</x:v>
      </x:c>
      <x:c r="I114" s="9" t="n">
        <x:v>9187667.613136051</x:v>
      </x:c>
      <x:c r="J114" s="8" t="n">
        <x:v>2.217796612903226</x:v>
      </x:c>
      <x:c r="K114" s="8"/>
      <x:c r="L114" s="8"/>
      <x:c r="M114" s="3" t="str">
        <x:v>Not available</x:v>
      </x:c>
    </x:row>
    <x:row r="115">
      <x:c r="A115" s="7" t="n">
        <x:v>39965</x:v>
      </x:c>
      <x:c r="B115" s="8" t="n">
        <x:v>12.512075236429643</x:v>
      </x:c>
      <x:c r="C115" s="8"/>
      <x:c r="D115" s="8"/>
      <x:c r="E115" s="8" t="n">
        <x:v>8</x:v>
      </x:c>
      <x:c r="F115" s="8" t="n">
        <x:v>166.1364</x:v>
      </x:c>
      <x:c r="G115" s="8" t="n">
        <x:v>72.24</x:v>
      </x:c>
      <x:c r="H115" s="9" t="n">
        <x:v>9077026.531</x:v>
      </x:c>
      <x:c r="I115" s="9" t="n">
        <x:v>9294565.87348827</x:v>
      </x:c>
      <x:c r="J115" s="8" t="n">
        <x:v>2.1747083333333332</x:v>
      </x:c>
      <x:c r="K115" s="8"/>
      <x:c r="L115" s="8"/>
      <x:c r="M115" s="3" t="str">
        <x:v>Not available</x:v>
      </x:c>
    </x:row>
    <x:row r="116">
      <x:c r="A116" s="7" t="n">
        <x:v>39995</x:v>
      </x:c>
      <x:c r="B116" s="8" t="n">
        <x:v>12.77059171300903</x:v>
      </x:c>
      <x:c r="C116" s="8"/>
      <x:c r="D116" s="8"/>
      <x:c r="E116" s="8" t="n">
        <x:v>6</x:v>
      </x:c>
      <x:c r="F116" s="8" t="n">
        <x:v>155.1304</x:v>
      </x:c>
      <x:c r="G116" s="8" t="n">
        <x:v>66.52</x:v>
      </x:c>
      <x:c r="H116" s="9" t="n">
        <x:v>8889358.823</x:v>
      </x:c>
      <x:c r="I116" s="9" t="n">
        <x:v>9771497.77712027</x:v>
      </x:c>
      <x:c r="J116" s="8" t="n">
        <x:v>2.1425385483870967</x:v>
      </x:c>
      <x:c r="K116" s="8"/>
      <x:c r="L116" s="8"/>
      <x:c r="M116" s="3" t="str">
        <x:v>Not available</x:v>
      </x:c>
    </x:row>
    <x:row r="117">
      <x:c r="A117" s="7" t="n">
        <x:v>40026</x:v>
      </x:c>
      <x:c r="B117" s="8" t="n">
        <x:v>12.914823127838186</x:v>
      </x:c>
      <x:c r="C117" s="8"/>
      <x:c r="D117" s="8"/>
      <x:c r="E117" s="8" t="n">
        <x:v>6</x:v>
      </x:c>
      <x:c r="F117" s="8" t="n">
        <x:v>158.9524</x:v>
      </x:c>
      <x:c r="G117" s="8" t="n">
        <x:v>74</x:v>
      </x:c>
      <x:c r="H117" s="9" t="n">
        <x:v>9475324.866</x:v>
      </x:c>
      <x:c r="I117" s="9" t="n">
        <x:v>10443039.50886076</x:v>
      </x:c>
      <x:c r="J117" s="8" t="n">
        <x:v>2.1155450967741936</x:v>
      </x:c>
      <x:c r="K117" s="8"/>
      <x:c r="L117" s="8"/>
      <x:c r="M117" s="3" t="str">
        <x:v>Not available</x:v>
      </x:c>
    </x:row>
    <x:row r="118">
      <x:c r="A118" s="7" t="n">
        <x:v>40057</x:v>
      </x:c>
      <x:c r="B118" s="8" t="n">
        <x:v>12.979605034498743</x:v>
      </x:c>
      <x:c r="C118" s="8"/>
      <x:c r="D118" s="8"/>
      <x:c r="E118" s="8" t="n">
        <x:v>6</x:v>
      </x:c>
      <x:c r="F118" s="8" t="n">
        <x:v>158</x:v>
      </x:c>
      <x:c r="G118" s="8" t="n">
        <x:v>70.22</x:v>
      </x:c>
      <x:c r="H118" s="9" t="n">
        <x:v>9458490.246</x:v>
      </x:c>
      <x:c r="I118" s="9" t="n">
        <x:v>10448981.601469418</x:v>
      </x:c>
      <x:c r="J118" s="8" t="n">
        <x:v>2.1827893333333335</x:v>
      </x:c>
      <x:c r="K118" s="8"/>
      <x:c r="L118" s="8"/>
      <x:c r="M118" s="3" t="str">
        <x:v>Not available</x:v>
      </x:c>
    </x:row>
    <x:row r="119">
      <x:c r="A119" s="7" t="n">
        <x:v>40087</x:v>
      </x:c>
      <x:c r="B119" s="8" t="n">
        <x:v>13.04133119084512</x:v>
      </x:c>
      <x:c r="C119" s="8"/>
      <x:c r="D119" s="8"/>
      <x:c r="E119" s="8" t="n">
        <x:v>6</x:v>
      </x:c>
      <x:c r="F119" s="8" t="n">
        <x:v>153.0476</x:v>
      </x:c>
      <x:c r="G119" s="8" t="n">
        <x:v>78.25</x:v>
      </x:c>
      <x:c r="H119" s="9" t="n">
        <x:v>9911551.336</x:v>
      </x:c>
      <x:c r="I119" s="9" t="n">
        <x:v>10538693.05282426</x:v>
      </x:c>
      <x:c r="J119" s="8" t="n">
        <x:v>2.2760870322580646</x:v>
      </x:c>
      <x:c r="K119" s="8"/>
      <x:c r="L119" s="8"/>
      <x:c r="M119" s="3" t="str">
        <x:v>Not available</x:v>
      </x:c>
    </x:row>
    <x:row r="120">
      <x:c r="A120" s="7" t="n">
        <x:v>40118</x:v>
      </x:c>
      <x:c r="B120" s="8" t="n">
        <x:v>13.126281049579244</x:v>
      </x:c>
      <x:c r="C120" s="8"/>
      <x:c r="D120" s="8"/>
      <x:c r="E120" s="8" t="n">
        <x:v>6</x:v>
      </x:c>
      <x:c r="F120" s="8" t="n">
        <x:v>152.9524</x:v>
      </x:c>
      <x:c r="G120" s="8" t="n">
        <x:v>78.11</x:v>
      </x:c>
      <x:c r="H120" s="9" t="n">
        <x:v>10239558.36</x:v>
      </x:c>
      <x:c r="I120" s="9" t="n">
        <x:v>10651243.73071009</x:v>
      </x:c>
      <x:c r="J120" s="8" t="n">
        <x:v>2.1506011666666667</x:v>
      </x:c>
      <x:c r="K120" s="8"/>
      <x:c r="L120" s="8"/>
      <x:c r="M120" s="3" t="str">
        <x:v>Not available</x:v>
      </x:c>
    </x:row>
    <x:row r="121">
      <x:c r="A121" s="7" t="n">
        <x:v>40148</x:v>
      </x:c>
      <x:c r="B121" s="8" t="n">
        <x:v>13.408971405371156</x:v>
      </x:c>
      <x:c r="C121" s="8"/>
      <x:c r="D121" s="8"/>
      <x:c r="E121" s="8" t="n">
        <x:v>6</x:v>
      </x:c>
      <x:c r="F121" s="8" t="n">
        <x:v>153.4762</x:v>
      </x:c>
      <x:c r="G121" s="8" t="n">
        <x:v>75.11</x:v>
      </x:c>
      <x:c r="H121" s="9" t="n">
        <x:v>10780627.14</x:v>
      </x:c>
      <x:c r="I121" s="9" t="n">
        <x:v>10662453.82669858</x:v>
      </x:c>
      <x:c r="J121" s="8" t="n">
        <x:v>2.0528320322580647</x:v>
      </x:c>
      <x:c r="K121" s="8"/>
      <x:c r="L121" s="8"/>
      <x:c r="M121" s="3" t="str">
        <x:v>Not available</x:v>
      </x:c>
    </x:row>
    <x:row r="122">
      <x:c r="A122" s="7" t="n">
        <x:v>40179</x:v>
      </x:c>
      <x:c r="B122" s="8" t="n">
        <x:v>13.537474480351468</x:v>
      </x:c>
      <x:c r="C122" s="8"/>
      <x:c r="D122" s="8"/>
      <x:c r="E122" s="8" t="n">
        <x:v>6</x:v>
      </x:c>
      <x:c r="F122" s="8" t="n">
        <x:v>153.55</x:v>
      </x:c>
      <x:c r="G122" s="8" t="n">
        <x:v>77.62</x:v>
      </x:c>
      <x:c r="H122" s="9" t="n">
        <x:v>10446373.94</x:v>
      </x:c>
      <x:c r="I122" s="9" t="n">
        <x:v>10579138.13091652</x:v>
      </x:c>
      <x:c r="J122" s="8" t="n">
        <x:v>2.3321376451612905</x:v>
      </x:c>
      <x:c r="K122" s="8"/>
      <x:c r="L122" s="8"/>
      <x:c r="M122" s="3" t="str">
        <x:v>Not available</x:v>
      </x:c>
    </x:row>
    <x:row r="123">
      <x:c r="A123" s="7" t="n">
        <x:v>40210</x:v>
      </x:c>
      <x:c r="B123" s="8" t="n">
        <x:v>13.788004898999647</x:v>
      </x:c>
      <x:c r="C123" s="8"/>
      <x:c r="D123" s="8"/>
      <x:c r="E123" s="8" t="n">
        <x:v>6</x:v>
      </x:c>
      <x:c r="F123" s="8" t="n">
        <x:v>152.0789</x:v>
      </x:c>
      <x:c r="G123" s="8" t="n">
        <x:v>75.06</x:v>
      </x:c>
      <x:c r="H123" s="9" t="n">
        <x:v>10792645.17</x:v>
      </x:c>
      <x:c r="I123" s="9" t="n">
        <x:v>10565298.28645683</x:v>
      </x:c>
      <x:c r="J123" s="8" t="n">
        <x:v>2.3857142857142857</x:v>
      </x:c>
      <x:c r="K123" s="8"/>
      <x:c r="L123" s="8"/>
      <x:c r="M123" s="3" t="str">
        <x:v>Not available</x:v>
      </x:c>
    </x:row>
    <x:row r="124">
      <x:c r="A124" s="7" t="n">
        <x:v>40238</x:v>
      </x:c>
      <x:c r="B124" s="8" t="n">
        <x:v>13.768911439267885</x:v>
      </x:c>
      <x:c r="C124" s="8"/>
      <x:c r="D124" s="8"/>
      <x:c r="E124" s="8" t="n">
        <x:v>6</x:v>
      </x:c>
      <x:c r="F124" s="8" t="n">
        <x:v>151.8478</x:v>
      </x:c>
      <x:c r="G124" s="8" t="n">
        <x:v>80.27</x:v>
      </x:c>
      <x:c r="H124" s="9" t="n">
        <x:v>11023312.97</x:v>
      </x:c>
      <x:c r="I124" s="9" t="n">
        <x:v>10573320.61901108</x:v>
      </x:c>
      <x:c r="J124" s="8" t="n">
        <x:v>2.4358064516129034</x:v>
      </x:c>
      <x:c r="K124" s="8"/>
      <x:c r="L124" s="8"/>
      <x:c r="M124" s="3" t="str">
        <x:v>Not available</x:v>
      </x:c>
    </x:row>
    <x:row r="125">
      <x:c r="A125" s="7" t="n">
        <x:v>40269</x:v>
      </x:c>
      <x:c r="B125" s="8" t="n">
        <x:v>13.877596537716183</x:v>
      </x:c>
      <x:c r="C125" s="8"/>
      <x:c r="D125" s="8"/>
      <x:c r="E125" s="8" t="n">
        <x:v>6</x:v>
      </x:c>
      <x:c r="F125" s="8" t="n">
        <x:v>152</x:v>
      </x:c>
      <x:c r="G125" s="8" t="n">
        <x:v>85.29</x:v>
      </x:c>
      <x:c r="H125" s="9" t="n">
        <x:v>10972487.61</x:v>
      </x:c>
      <x:c r="I125" s="9" t="n">
        <x:v>10592955.9555994</x:v>
      </x:c>
      <x:c r="J125" s="8" t="n">
        <x:v>2.414</x:v>
      </x:c>
      <x:c r="K125" s="8"/>
      <x:c r="L125" s="8"/>
      <x:c r="M125" s="3" t="str">
        <x:v>Not available</x:v>
      </x:c>
    </x:row>
    <x:row r="126">
      <x:c r="A126" s="7" t="n">
        <x:v>40299</x:v>
      </x:c>
      <x:c r="B126" s="8" t="n">
        <x:v>13.87198595900064</x:v>
      </x:c>
      <x:c r="C126" s="8"/>
      <x:c r="D126" s="8"/>
      <x:c r="E126" s="8" t="n">
        <x:v>6</x:v>
      </x:c>
      <x:c r="F126" s="8" t="n">
        <x:v>153.2632</x:v>
      </x:c>
      <x:c r="G126" s="8" t="n">
        <x:v>77.54</x:v>
      </x:c>
      <x:c r="H126" s="9" t="n">
        <x:v>10759314.65</x:v>
      </x:c>
      <x:c r="I126" s="9" t="n">
        <x:v>10503277.949841712</x:v>
      </x:c>
      <x:c r="J126" s="8" t="n">
        <x:v>2.409249870967742</x:v>
      </x:c>
      <x:c r="K126" s="8"/>
      <x:c r="L126" s="8"/>
      <x:c r="M126" s="3" t="str">
        <x:v>Not available</x:v>
      </x:c>
    </x:row>
    <x:row r="127">
      <x:c r="A127" s="7" t="n">
        <x:v>40330</x:v>
      </x:c>
      <x:c r="B127" s="8" t="n">
        <x:v>14.276143269522386</x:v>
      </x:c>
      <x:c r="C127" s="8"/>
      <x:c r="D127" s="8"/>
      <x:c r="E127" s="8" t="n">
        <x:v>6</x:v>
      </x:c>
      <x:c r="F127" s="8" t="n">
        <x:v>153.8684</x:v>
      </x:c>
      <x:c r="G127" s="8" t="n">
        <x:v>75.79</x:v>
      </x:c>
      <x:c r="H127" s="9" t="n">
        <x:v>10845498.1</x:v>
      </x:c>
      <x:c r="I127" s="9" t="n">
        <x:v>10676253.19404346</x:v>
      </x:c>
      <x:c r="J127" s="8" t="n">
        <x:v>2.2133322333333334</x:v>
      </x:c>
      <x:c r="K127" s="8"/>
      <x:c r="L127" s="8"/>
      <x:c r="M127" s="3" t="str">
        <x:v>Not available</x:v>
      </x:c>
    </x:row>
    <x:row r="128">
      <x:c r="A128" s="7" t="n">
        <x:v>40360</x:v>
      </x:c>
      <x:c r="B128" s="8" t="n">
        <x:v>14.431033385907421</x:v>
      </x:c>
      <x:c r="C128" s="8"/>
      <x:c r="D128" s="8"/>
      <x:c r="E128" s="8" t="n">
        <x:v>6</x:v>
      </x:c>
      <x:c r="F128" s="8" t="n">
        <x:v>152.4091</x:v>
      </x:c>
      <x:c r="G128" s="8" t="n">
        <x:v>77.18</x:v>
      </x:c>
      <x:c r="H128" s="9" t="n">
        <x:v>10941435.3</x:v>
      </x:c>
      <x:c r="I128" s="9" t="n">
        <x:v>10290561.992222652</x:v>
      </x:c>
      <x:c r="J128" s="8" t="n">
        <x:v>2.4843924193548386</x:v>
      </x:c>
      <x:c r="K128" s="8"/>
      <x:c r="L128" s="8"/>
      <x:c r="M128" s="3" t="str">
        <x:v>Not available</x:v>
      </x:c>
    </x:row>
    <x:row r="129">
      <x:c r="A129" s="7" t="n">
        <x:v>40391</x:v>
      </x:c>
      <x:c r="B129" s="8" t="n">
        <x:v>14.6843706101643</x:v>
      </x:c>
      <x:c r="C129" s="8"/>
      <x:c r="D129" s="8"/>
      <x:c r="E129" s="8" t="n">
        <x:v>6</x:v>
      </x:c>
      <x:c r="F129" s="8" t="n">
        <x:v>152.2273</x:v>
      </x:c>
      <x:c r="G129" s="8" t="n">
        <x:v>78.67</x:v>
      </x:c>
      <x:c r="H129" s="9" t="n">
        <x:v>11520644.68</x:v>
      </x:c>
      <x:c r="I129" s="9" t="n">
        <x:v>10497201.751277221</x:v>
      </x:c>
      <x:c r="J129" s="8" t="n">
        <x:v>2.500739322580645</x:v>
      </x:c>
      <x:c r="K129" s="8"/>
      <x:c r="L129" s="8"/>
      <x:c r="M129" s="3" t="str">
        <x:v>Not available</x:v>
      </x:c>
    </x:row>
    <x:row r="130">
      <x:c r="A130" s="7" t="n">
        <x:v>40422</x:v>
      </x:c>
      <x:c r="B130" s="8" t="n">
        <x:v>14.751314643517155</x:v>
      </x:c>
      <x:c r="C130" s="8"/>
      <x:c r="D130" s="8"/>
      <x:c r="E130" s="8" t="n">
        <x:v>6.25</x:v>
      </x:c>
      <x:c r="F130" s="8" t="n">
        <x:v>153.85</x:v>
      </x:c>
      <x:c r="G130" s="8" t="n">
        <x:v>79.45</x:v>
      </x:c>
      <x:c r="H130" s="9" t="n">
        <x:v>11224789.77</x:v>
      </x:c>
      <x:c r="I130" s="9" t="n">
        <x:v>10672386.967669234</x:v>
      </x:c>
      <x:c r="J130" s="8" t="n">
        <x:v>2.4823014</x:v>
      </x:c>
      <x:c r="K130" s="8"/>
      <x:c r="L130" s="8"/>
      <x:c r="M130" s="3" t="str">
        <x:v>Not available</x:v>
      </x:c>
    </x:row>
    <x:row r="131">
      <x:c r="A131" s="7" t="n">
        <x:v>40452</x:v>
      </x:c>
      <x:c r="B131" s="8" t="n">
        <x:v>14.795345093683405</x:v>
      </x:c>
      <x:c r="C131" s="8"/>
      <x:c r="D131" s="8"/>
      <x:c r="E131" s="8" t="n">
        <x:v>6.25</x:v>
      </x:c>
      <x:c r="F131" s="8" t="n">
        <x:v>153.975</x:v>
      </x:c>
      <x:c r="G131" s="8" t="n">
        <x:v>84.42</x:v>
      </x:c>
      <x:c r="H131" s="9" t="n">
        <x:v>11224607.28</x:v>
      </x:c>
      <x:c r="I131" s="9" t="n">
        <x:v>10905771.5515577</x:v>
      </x:c>
      <x:c r="J131" s="8" t="n">
        <x:v>2.58129032258065</x:v>
      </x:c>
      <x:c r="K131" s="8"/>
      <x:c r="L131" s="8"/>
      <x:c r="M131" s="3" t="str">
        <x:v>Not available</x:v>
      </x:c>
    </x:row>
    <x:row r="132">
      <x:c r="A132" s="7" t="n">
        <x:v>40483</x:v>
      </x:c>
      <x:c r="B132" s="8" t="n">
        <x:v>14.80198257863481</x:v>
      </x:c>
      <x:c r="C132" s="8"/>
      <x:c r="D132" s="8"/>
      <x:c r="E132" s="8" t="n">
        <x:v>6.25</x:v>
      </x:c>
      <x:c r="F132" s="8" t="n">
        <x:v>153.125</x:v>
      </x:c>
      <x:c r="G132" s="8" t="n">
        <x:v>86.71</x:v>
      </x:c>
      <x:c r="H132" s="9" t="n">
        <x:v>11142651.36</x:v>
      </x:c>
      <x:c r="I132" s="9" t="n">
        <x:v>11082507.88484494</x:v>
      </x:c>
      <x:c r="J132" s="8" t="n">
        <x:v>2.502666666666667</x:v>
      </x:c>
      <x:c r="K132" s="8"/>
      <x:c r="L132" s="8"/>
      <x:c r="M132" s="3" t="str">
        <x:v>Not available</x:v>
      </x:c>
    </x:row>
    <x:row r="133">
      <x:c r="A133" s="7" t="n">
        <x:v>40513</x:v>
      </x:c>
      <x:c r="B133" s="8" t="n">
        <x:v>14.993284729248453</x:v>
      </x:c>
      <x:c r="C133" s="8"/>
      <x:c r="D133" s="8"/>
      <x:c r="E133" s="8" t="n">
        <x:v>6.25</x:v>
      </x:c>
      <x:c r="F133" s="8" t="n">
        <x:v>154.5714</x:v>
      </x:c>
      <x:c r="G133" s="8" t="n">
        <x:v>92.79</x:v>
      </x:c>
      <x:c r="H133" s="9" t="n">
        <x:v>11525530.34</x:v>
      </x:c>
      <x:c r="I133" s="9" t="n">
        <x:v>9279402.543854231</x:v>
      </x:c>
      <x:c r="J133" s="8" t="n">
        <x:v>2.582258064516129</x:v>
      </x:c>
      <x:c r="K133" s="8"/>
      <x:c r="L133" s="8"/>
      <x:c r="M133" s="3" t="str">
        <x:v>Not available</x:v>
      </x:c>
    </x:row>
    <x:row r="134">
      <x:c r="A134" s="7" t="n">
        <x:v>40544</x:v>
      </x:c>
      <x:c r="B134" s="8" t="n">
        <x:v>15.172756109108926</x:v>
      </x:c>
      <x:c r="C134" s="8"/>
      <x:c r="D134" s="8"/>
      <x:c r="E134" s="8" t="n">
        <x:v>6.5</x:v>
      </x:c>
      <x:c r="F134" s="8" t="n">
        <x:v>156.125</x:v>
      </x:c>
      <x:c r="G134" s="8" t="n">
        <x:v>97.96</x:v>
      </x:c>
      <x:c r="H134" s="9" t="n">
        <x:v>11561525.95</x:v>
      </x:c>
      <x:c r="I134" s="9" t="n">
        <x:v>8758865.47030158</x:v>
      </x:c>
      <x:c r="J134" s="8" t="n">
        <x:v>2.49</x:v>
      </x:c>
      <x:c r="K134" s="8"/>
      <x:c r="L134" s="8"/>
      <x:c r="M134" s="3" t="str">
        <x:v>Not available</x:v>
      </x:c>
    </x:row>
    <x:row r="135">
      <x:c r="A135" s="7" t="n">
        <x:v>40575</x:v>
      </x:c>
      <x:c r="B135" s="8" t="n">
        <x:v>15.318450917845796</x:v>
      </x:c>
      <x:c r="C135" s="8"/>
      <x:c r="D135" s="8"/>
      <x:c r="E135" s="8" t="n">
        <x:v>6.5</x:v>
      </x:c>
      <x:c r="F135" s="8" t="n">
        <x:v>155.1053</x:v>
      </x:c>
      <x:c r="G135" s="8" t="n">
        <x:v>106.57</x:v>
      </x:c>
      <x:c r="H135" s="9" t="n">
        <x:v>11595668.3</x:v>
      </x:c>
      <x:c r="I135" s="9" t="n">
        <x:v>8631659.45611153</x:v>
      </x:c>
      <x:c r="J135" s="8" t="n">
        <x:v>2.51</x:v>
      </x:c>
      <x:c r="K135" s="8"/>
      <x:c r="L135" s="8"/>
      <x:c r="M135" s="3" t="str">
        <x:v>Not available</x:v>
      </x:c>
    </x:row>
    <x:row r="136">
      <x:c r="A136" s="7" t="n">
        <x:v>40603</x:v>
      </x:c>
      <x:c r="B136" s="8" t="n">
        <x:v>15.528458307482817</x:v>
      </x:c>
      <x:c r="C136" s="8"/>
      <x:c r="D136" s="8"/>
      <x:c r="E136" s="8" t="n">
        <x:v>7.5</x:v>
      </x:c>
      <x:c r="F136" s="8" t="n">
        <x:v>157.087</x:v>
      </x:c>
      <x:c r="G136" s="8" t="n">
        <x:v>116.56</x:v>
      </x:c>
      <x:c r="H136" s="9" t="n">
        <x:v>11653623.81</x:v>
      </x:c>
      <x:c r="I136" s="9" t="n">
        <x:v>8853786.542387068</x:v>
      </x:c>
      <x:c r="J136" s="8" t="n">
        <x:v>2.29</x:v>
      </x:c>
      <x:c r="K136" s="8"/>
      <x:c r="L136" s="8"/>
      <x:c r="M136" s="3" t="str">
        <x:v>Not available</x:v>
      </x:c>
    </x:row>
    <x:row r="137">
      <x:c r="A137" s="7" t="n">
        <x:v>40634</x:v>
      </x:c>
      <x:c r="B137" s="8" t="n">
        <x:v>15.444555047191027</x:v>
      </x:c>
      <x:c r="C137" s="8"/>
      <x:c r="D137" s="8"/>
      <x:c r="E137" s="8" t="n">
        <x:v>7.5</x:v>
      </x:c>
      <x:c r="F137" s="8" t="n">
        <x:v>157.0476</x:v>
      </x:c>
      <x:c r="G137" s="8" t="n">
        <x:v>124.49</x:v>
      </x:c>
      <x:c r="H137" s="9" t="n">
        <x:v>11898956.66</x:v>
      </x:c>
      <x:c r="I137" s="9" t="n">
        <x:v>8841816.08592128</x:v>
      </x:c>
      <x:c r="J137" s="8" t="n">
        <x:v>2.42</x:v>
      </x:c>
      <x:c r="K137" s="8"/>
      <x:c r="L137" s="8"/>
      <x:c r="M137" s="3" t="str">
        <x:v>Not available</x:v>
      </x:c>
    </x:row>
    <x:row r="138">
      <x:c r="A138" s="7" t="n">
        <x:v>40664</x:v>
      </x:c>
      <x:c r="B138" s="8" t="n">
        <x:v>15.585471398102147</x:v>
      </x:c>
      <x:c r="C138" s="8"/>
      <x:c r="D138" s="8"/>
      <x:c r="E138" s="8" t="n">
        <x:v>8</x:v>
      </x:c>
      <x:c r="F138" s="8" t="n">
        <x:v>158.0455</x:v>
      </x:c>
      <x:c r="G138" s="8" t="n">
        <x:v>118.43</x:v>
      </x:c>
      <x:c r="H138" s="9" t="n">
        <x:v>11986234.87</x:v>
      </x:c>
      <x:c r="I138" s="9" t="n">
        <x:v>8868856.561819209</x:v>
      </x:c>
      <x:c r="J138" s="8" t="n">
        <x:v>2.5</x:v>
      </x:c>
      <x:c r="K138" s="8"/>
      <x:c r="L138" s="8"/>
      <x:c r="M138" s="3" t="str">
        <x:v>Not available</x:v>
      </x:c>
    </x:row>
    <x:row r="139">
      <x:c r="A139" s="7" t="n">
        <x:v>40695</x:v>
      </x:c>
      <x:c r="B139" s="8" t="n">
        <x:v>15.736618800666928</x:v>
      </x:c>
      <x:c r="C139" s="8"/>
      <x:c r="D139" s="8"/>
      <x:c r="E139" s="8" t="n">
        <x:v>8</x:v>
      </x:c>
      <x:c r="F139" s="8" t="n">
        <x:v>158.3182</x:v>
      </x:c>
      <x:c r="G139" s="8" t="n">
        <x:v>117.03</x:v>
      </x:c>
      <x:c r="H139" s="9" t="n">
        <x:v>12172096.71</x:v>
      </x:c>
      <x:c r="I139" s="9" t="n">
        <x:v>8924890.185282521</x:v>
      </x:c>
      <x:c r="J139" s="8" t="n">
        <x:v>2.34</x:v>
      </x:c>
      <x:c r="K139" s="8"/>
      <x:c r="L139" s="8"/>
      <x:c r="M139" s="3" t="str">
        <x:v>Not available</x:v>
      </x:c>
    </x:row>
    <x:row r="140">
      <x:c r="A140" s="7" t="n">
        <x:v>40725</x:v>
      </x:c>
      <x:c r="B140" s="8" t="n">
        <x:v>15.787172920752457</x:v>
      </x:c>
      <x:c r="C140" s="8"/>
      <x:c r="D140" s="8"/>
      <x:c r="E140" s="8" t="n">
        <x:v>8.75</x:v>
      </x:c>
      <x:c r="F140" s="8" t="n">
        <x:v>163.7143</x:v>
      </x:c>
      <x:c r="G140" s="8" t="n">
        <x:v>117.86</x:v>
      </x:c>
      <x:c r="H140" s="9" t="n">
        <x:v>12389274.84</x:v>
      </x:c>
      <x:c r="I140" s="9" t="n">
        <x:v>8960676.17066865</x:v>
      </x:c>
      <x:c r="J140" s="8" t="n">
        <x:v>2.34</x:v>
      </x:c>
      <x:c r="K140" s="8"/>
      <x:c r="L140" s="8"/>
      <x:c r="M140" s="3" t="str">
        <x:v>Not available</x:v>
      </x:c>
    </x:row>
    <x:row r="141">
      <x:c r="A141" s="7" t="n">
        <x:v>40756</x:v>
      </x:c>
      <x:c r="B141" s="8" t="n">
        <x:v>16.0501232148527</x:v>
      </x:c>
      <x:c r="C141" s="8"/>
      <x:c r="D141" s="8"/>
      <x:c r="E141" s="8" t="n">
        <x:v>8.75</x:v>
      </x:c>
      <x:c r="F141" s="8" t="n">
        <x:v>163.0952</x:v>
      </x:c>
      <x:c r="G141" s="8" t="n">
        <x:v>111.99</x:v>
      </x:c>
      <x:c r="H141" s="9" t="n">
        <x:v>12508014.99</x:v>
      </x:c>
      <x:c r="I141" s="9" t="n">
        <x:v>9192276.48836208</x:v>
      </x:c>
      <x:c r="J141" s="8" t="n">
        <x:v>2.41</x:v>
      </x:c>
      <x:c r="K141" s="8"/>
      <x:c r="L141" s="8"/>
      <x:c r="M141" s="3" t="str">
        <x:v>Not available</x:v>
      </x:c>
    </x:row>
    <x:row r="142">
      <x:c r="A142" s="7" t="n">
        <x:v>40787</x:v>
      </x:c>
      <x:c r="B142" s="8" t="n">
        <x:v>16.276457762571166</x:v>
      </x:c>
      <x:c r="C142" s="8"/>
      <x:c r="D142" s="8"/>
      <x:c r="E142" s="8" t="n">
        <x:v>9.25</x:v>
      </x:c>
      <x:c r="F142" s="8" t="n">
        <x:v>158.2273</x:v>
      </x:c>
      <x:c r="G142" s="8" t="n">
        <x:v>115.73</x:v>
      </x:c>
      <x:c r="H142" s="9" t="n">
        <x:v>12618080.33</x:v>
      </x:c>
      <x:c r="I142" s="9" t="n">
        <x:v>9299452.87705622</x:v>
      </x:c>
      <x:c r="J142" s="8" t="n">
        <x:v>2.32</x:v>
      </x:c>
      <x:c r="K142" s="8"/>
      <x:c r="L142" s="8"/>
      <x:c r="M142" s="3" t="str">
        <x:v>Not available</x:v>
      </x:c>
    </x:row>
    <x:row r="143">
      <x:c r="A143" s="7" t="n">
        <x:v>40817</x:v>
      </x:c>
      <x:c r="B143" s="8" t="n">
        <x:v>16.355432623067465</x:v>
      </x:c>
      <x:c r="C143" s="8"/>
      <x:c r="D143" s="8"/>
      <x:c r="E143" s="8" t="n">
        <x:v>12</x:v>
      </x:c>
      <x:c r="F143" s="8" t="n">
        <x:v>161.25</x:v>
      </x:c>
      <x:c r="G143" s="8" t="n">
        <x:v>113.12</x:v>
      </x:c>
      <x:c r="H143" s="9" t="n">
        <x:v>12172500.07</x:v>
      </x:c>
      <x:c r="I143" s="9" t="n">
        <x:v>10816811.885896971</x:v>
      </x:c>
      <x:c r="J143" s="8" t="n">
        <x:v>2.36</x:v>
      </x:c>
      <x:c r="K143" s="8"/>
      <x:c r="L143" s="8"/>
      <x:c r="M143" s="3" t="str">
        <x:v>Not available</x:v>
      </x:c>
    </x:row>
    <x:row r="144">
      <x:c r="A144" s="7" t="n">
        <x:v>40848</x:v>
      </x:c>
      <x:c r="B144" s="8" t="n">
        <x:v>16.362112298109494</x:v>
      </x:c>
      <x:c r="C144" s="8"/>
      <x:c r="D144" s="8"/>
      <x:c r="E144" s="8" t="n">
        <x:v>12</x:v>
      </x:c>
      <x:c r="F144" s="8" t="n">
        <x:v>160.35</x:v>
      </x:c>
      <x:c r="G144" s="8" t="n">
        <x:v>113.92</x:v>
      </x:c>
      <x:c r="H144" s="9" t="n">
        <x:v>12210412.37</x:v>
      </x:c>
      <x:c r="I144" s="9" t="n">
        <x:v>11309546.37068256</x:v>
      </x:c>
      <x:c r="J144" s="8" t="n">
        <x:v>2.32</x:v>
      </x:c>
      <x:c r="K144" s="8"/>
      <x:c r="L144" s="8"/>
      <x:c r="M144" s="3" t="str">
        <x:v>Not available</x:v>
      </x:c>
    </x:row>
    <x:row r="145">
      <x:c r="A145" s="7" t="n">
        <x:v>40878</x:v>
      </x:c>
      <x:c r="B145" s="8" t="n">
        <x:v>16.535048089927038</x:v>
      </x:c>
      <x:c r="C145" s="8"/>
      <x:c r="D145" s="8"/>
      <x:c r="E145" s="8" t="n">
        <x:v>12</x:v>
      </x:c>
      <x:c r="F145" s="8" t="n">
        <x:v>163.3</x:v>
      </x:c>
      <x:c r="G145" s="8" t="n">
        <x:v>111.46</x:v>
      </x:c>
      <x:c r="H145" s="9" t="n">
        <x:v>13303494.5</x:v>
      </x:c>
      <x:c r="I145" s="9" t="n">
        <x:v>12741651.962387972</x:v>
      </x:c>
      <x:c r="J145" s="8" t="n">
        <x:v>2.27</x:v>
      </x:c>
      <x:c r="K145" s="8"/>
      <x:c r="L145" s="8"/>
      <x:c r="M145" s="3" t="str">
        <x:v>Not available</x:v>
      </x:c>
    </x:row>
    <x:row r="146">
      <x:c r="A146" s="7" t="n">
        <x:v>40909</x:v>
      </x:c>
      <x:c r="B146" s="8" t="n">
        <x:v>17.088463628314347</x:v>
      </x:c>
      <x:c r="C146" s="8"/>
      <x:c r="D146" s="8"/>
      <x:c r="E146" s="8" t="n">
        <x:v>12</x:v>
      </x:c>
      <x:c r="F146" s="8" t="n">
        <x:v>164.62</x:v>
      </x:c>
      <x:c r="G146" s="8" t="n">
        <x:v>113.81</x:v>
      </x:c>
      <x:c r="H146" s="9" t="n">
        <x:v>13755293.22</x:v>
      </x:c>
      <x:c r="I146" s="9" t="n">
        <x:v>12567331.98901122</x:v>
      </x:c>
      <x:c r="J146" s="8" t="n">
        <x:v>2.229437225806451</x:v>
      </x:c>
      <x:c r="K146" s="8"/>
      <x:c r="L146" s="8"/>
      <x:c r="M146" s="3" t="str">
        <x:v>Not available</x:v>
      </x:c>
    </x:row>
    <x:row r="147">
      <x:c r="A147" s="7" t="n">
        <x:v>40940</x:v>
      </x:c>
      <x:c r="B147" s="8" t="n">
        <x:v>17.136090201754342</x:v>
      </x:c>
      <x:c r="C147" s="8"/>
      <x:c r="D147" s="8"/>
      <x:c r="E147" s="8" t="n">
        <x:v>12</x:v>
      </x:c>
      <x:c r="F147" s="8" t="n">
        <x:v>160.85</x:v>
      </x:c>
      <x:c r="G147" s="8" t="n">
        <x:v>121.87</x:v>
      </x:c>
      <x:c r="H147" s="9" t="n">
        <x:v>13153787.49</x:v>
      </x:c>
      <x:c r="I147" s="9" t="n">
        <x:v>12512181.049892448</x:v>
      </x:c>
      <x:c r="J147" s="8" t="n">
        <x:v>2.3605585762068966</x:v>
      </x:c>
      <x:c r="K147" s="8"/>
      <x:c r="L147" s="8"/>
      <x:c r="M147" s="3" t="str">
        <x:v>Not available</x:v>
      </x:c>
    </x:row>
    <x:row r="148">
      <x:c r="A148" s="7" t="n">
        <x:v>40969</x:v>
      </x:c>
      <x:c r="B148" s="8" t="n">
        <x:v>17.40909414743875</x:v>
      </x:c>
      <x:c r="C148" s="8"/>
      <x:c r="D148" s="8"/>
      <x:c r="E148" s="8" t="n">
        <x:v>12</x:v>
      </x:c>
      <x:c r="F148" s="8" t="n">
        <x:v>159.4091</x:v>
      </x:c>
      <x:c r="G148" s="8" t="n">
        <x:v>128</x:v>
      </x:c>
      <x:c r="H148" s="9" t="n">
        <x:v>13270973.81</x:v>
      </x:c>
      <x:c r="I148" s="9" t="n">
        <x:v>12641717.851423431</x:v>
      </x:c>
      <x:c r="J148" s="8" t="n">
        <x:v>2.3808370829032253</x:v>
      </x:c>
      <x:c r="K148" s="8"/>
      <x:c r="L148" s="8"/>
      <x:c r="M148" s="3" t="str">
        <x:v>Not available</x:v>
      </x:c>
    </x:row>
    <x:row r="149">
      <x:c r="A149" s="7" t="n">
        <x:v>41000</x:v>
      </x:c>
      <x:c r="B149" s="8" t="n">
        <x:v>17.43159923693971</x:v>
      </x:c>
      <x:c r="C149" s="8"/>
      <x:c r="D149" s="8"/>
      <x:c r="E149" s="8" t="n">
        <x:v>12</x:v>
      </x:c>
      <x:c r="F149" s="8" t="n">
        <x:v>159.3684</x:v>
      </x:c>
      <x:c r="G149" s="8" t="n">
        <x:v>122.62</x:v>
      </x:c>
      <x:c r="H149" s="9" t="n">
        <x:v>13304783.81</x:v>
      </x:c>
      <x:c r="I149" s="9" t="n">
        <x:v>12899039.994904831</x:v>
      </x:c>
      <x:c r="J149" s="8" t="n">
        <x:v>2.349237566666667</x:v>
      </x:c>
      <x:c r="K149" s="8"/>
      <x:c r="L149" s="8"/>
      <x:c r="M149" s="3" t="str">
        <x:v>Not available</x:v>
      </x:c>
    </x:row>
    <x:row r="150">
      <x:c r="A150" s="7" t="n">
        <x:v>41030</x:v>
      </x:c>
      <x:c r="B150" s="8" t="n">
        <x:v>17.563002377966168</x:v>
      </x:c>
      <x:c r="C150" s="8"/>
      <x:c r="D150" s="8"/>
      <x:c r="E150" s="8" t="n">
        <x:v>12</x:v>
      </x:c>
      <x:c r="F150" s="8" t="n">
        <x:v>159.66666666666666</x:v>
      </x:c>
      <x:c r="G150" s="8" t="n">
        <x:v>113.08</x:v>
      </x:c>
      <x:c r="H150" s="9" t="n">
        <x:v>13603139.34</x:v>
      </x:c>
      <x:c r="I150" s="9" t="n">
        <x:v>13182567.424812</x:v>
      </x:c>
      <x:c r="J150" s="8" t="n">
        <x:v>2.4177400322580644</x:v>
      </x:c>
      <x:c r="K150" s="8"/>
      <x:c r="L150" s="8"/>
      <x:c r="M150" s="3" t="str">
        <x:v>Not available</x:v>
      </x:c>
    </x:row>
    <x:row r="151">
      <x:c r="A151" s="7" t="n">
        <x:v>41061</x:v>
      </x:c>
      <x:c r="B151" s="8" t="n">
        <x:v>17.765380694202424</x:v>
      </x:c>
      <x:c r="C151" s="8"/>
      <x:c r="D151" s="8"/>
      <x:c r="E151" s="8" t="n">
        <x:v>12</x:v>
      </x:c>
      <x:c r="F151" s="8" t="n">
        <x:v>163.4286</x:v>
      </x:c>
      <x:c r="G151" s="8" t="n">
        <x:v>98.06</x:v>
      </x:c>
      <x:c r="H151" s="9" t="n">
        <x:v>13483059.41</x:v>
      </x:c>
      <x:c r="I151" s="9" t="n">
        <x:v>13424724.81345755</x:v>
      </x:c>
      <x:c r="J151" s="8" t="n">
        <x:v>2.3735812333333333</x:v>
      </x:c>
      <x:c r="K151" s="8"/>
      <x:c r="L151" s="8"/>
      <x:c r="M151" s="3" t="str">
        <x:v>Not available</x:v>
      </x:c>
    </x:row>
    <x:row r="152">
      <x:c r="A152" s="7" t="n">
        <x:v>41091</x:v>
      </x:c>
      <x:c r="B152" s="8" t="n">
        <x:v>17.807437978748677</x:v>
      </x:c>
      <x:c r="C152" s="8"/>
      <x:c r="D152" s="8"/>
      <x:c r="E152" s="8" t="n">
        <x:v>12</x:v>
      </x:c>
      <x:c r="F152" s="8" t="n">
        <x:v>163.3182</x:v>
      </x:c>
      <x:c r="G152" s="8" t="n">
        <x:v>104.62</x:v>
      </x:c>
      <x:c r="H152" s="9" t="n">
        <x:v>13392426.38</x:v>
      </x:c>
      <x:c r="I152" s="9" t="n">
        <x:v>13345874.530374542</x:v>
      </x:c>
      <x:c r="J152" s="8" t="n">
        <x:v>2.413102322580645</x:v>
      </x:c>
      <x:c r="K152" s="8"/>
      <x:c r="L152" s="8"/>
      <x:c r="M152" s="3" t="str">
        <x:v>Not available</x:v>
      </x:c>
    </x:row>
    <x:row r="153">
      <x:c r="A153" s="7" t="n">
        <x:v>41122</x:v>
      </x:c>
      <x:c r="B153" s="8" t="n">
        <x:v>17.926265829353802</x:v>
      </x:c>
      <x:c r="C153" s="8"/>
      <x:c r="D153" s="8"/>
      <x:c r="E153" s="8" t="n">
        <x:v>12</x:v>
      </x:c>
      <x:c r="F153" s="8" t="n">
        <x:v>162.2381</x:v>
      </x:c>
      <x:c r="G153" s="8" t="n">
        <x:v>113.76</x:v>
      </x:c>
      <x:c r="H153" s="9" t="n">
        <x:v>13770062.26</x:v>
      </x:c>
      <x:c r="I153" s="9" t="n">
        <x:v>13786795.677506618</x:v>
      </x:c>
      <x:c r="J153" s="8" t="n">
        <x:v>2.62247035483871</x:v>
      </x:c>
      <x:c r="K153" s="8"/>
      <x:c r="L153" s="8"/>
      <x:c r="M153" s="3" t="str">
        <x:v>Not available</x:v>
      </x:c>
    </x:row>
    <x:row r="154">
      <x:c r="A154" s="7" t="n">
        <x:v>41153</x:v>
      </x:c>
      <x:c r="B154" s="8" t="n">
        <x:v>18.108046046078307</x:v>
      </x:c>
      <x:c r="C154" s="8"/>
      <x:c r="D154" s="8"/>
      <x:c r="E154" s="8" t="n">
        <x:v>12</x:v>
      </x:c>
      <x:c r="F154" s="8" t="n">
        <x:v>159.8</x:v>
      </x:c>
      <x:c r="G154" s="8" t="n">
        <x:v>114.36</x:v>
      </x:c>
      <x:c r="H154" s="9" t="n">
        <x:v>14065267.13</x:v>
      </x:c>
      <x:c r="I154" s="9" t="n">
        <x:v>13893486.135423752</x:v>
      </x:c>
      <x:c r="J154" s="8" t="n">
        <x:v>2.5129246333333333</x:v>
      </x:c>
      <x:c r="K154" s="8"/>
      <x:c r="L154" s="8"/>
      <x:c r="M154" s="3" t="str">
        <x:v>Not available</x:v>
      </x:c>
    </x:row>
    <x:row r="155">
      <x:c r="A155" s="7" t="n">
        <x:v>41183</x:v>
      </x:c>
      <x:c r="B155" s="8" t="n">
        <x:v>18.26793498077066</x:v>
      </x:c>
      <x:c r="C155" s="8"/>
      <x:c r="D155" s="8"/>
      <x:c r="E155" s="8" t="n">
        <x:v>12</x:v>
      </x:c>
      <x:c r="F155" s="8" t="n">
        <x:v>159</x:v>
      </x:c>
      <x:c r="G155" s="8" t="n">
        <x:v>108.92</x:v>
      </x:c>
      <x:c r="H155" s="9" t="n">
        <x:v>14399299.17</x:v>
      </x:c>
      <x:c r="I155" s="9" t="n">
        <x:v>13679677.241683532</x:v>
      </x:c>
      <x:c r="J155" s="8" t="n">
        <x:v>2.189259612903226</x:v>
      </x:c>
      <x:c r="K155" s="8"/>
      <x:c r="L155" s="8"/>
      <x:c r="M155" s="3" t="str">
        <x:v>Not available</x:v>
      </x:c>
    </x:row>
    <x:row r="156">
      <x:c r="A156" s="7" t="n">
        <x:v>41214</x:v>
      </x:c>
      <x:c r="B156" s="8" t="n">
        <x:v>18.377935891969248</x:v>
      </x:c>
      <x:c r="C156" s="8"/>
      <x:c r="D156" s="8"/>
      <x:c r="E156" s="8" t="n">
        <x:v>12</x:v>
      </x:c>
      <x:c r="F156" s="8" t="n">
        <x:v>159.3182</x:v>
      </x:c>
      <x:c r="G156" s="8" t="n">
        <x:v>111.05</x:v>
      </x:c>
      <x:c r="H156" s="9" t="n">
        <x:v>15062729.97</x:v>
      </x:c>
      <x:c r="I156" s="9" t="n">
        <x:v>13857460.43192164</x:v>
      </x:c>
      <x:c r="J156" s="8" t="n">
        <x:v>2.032805666666667</x:v>
      </x:c>
      <x:c r="K156" s="8"/>
      <x:c r="L156" s="8"/>
      <x:c r="M156" s="3" t="str">
        <x:v>Not available</x:v>
      </x:c>
    </x:row>
    <x:row r="157">
      <x:c r="A157" s="7" t="n">
        <x:v>41244</x:v>
      </x:c>
      <x:c r="B157" s="8" t="n">
        <x:v>18.516126169956113</x:v>
      </x:c>
      <x:c r="C157" s="8"/>
      <x:c r="D157" s="8"/>
      <x:c r="E157" s="8" t="n">
        <x:v>12</x:v>
      </x:c>
      <x:c r="F157" s="8" t="n">
        <x:v>159.2632</x:v>
      </x:c>
      <x:c r="G157" s="8" t="n">
        <x:v>114.49</x:v>
      </x:c>
      <x:c r="H157" s="9" t="n">
        <x:v>15483847.53</x:v>
      </x:c>
      <x:c r="I157" s="9" t="n">
        <x:v>13732825.64849757</x:v>
      </x:c>
      <x:c r="J157" s="8" t="n">
        <x:v>2.2054310322580646</x:v>
      </x:c>
      <x:c r="K157" s="8"/>
      <x:c r="L157" s="8"/>
      <x:c r="M157" s="3" t="str">
        <x:v>Not available</x:v>
      </x:c>
    </x:row>
    <x:row r="158">
      <x:c r="A158" s="7" t="n">
        <x:v>41275</x:v>
      </x:c>
      <x:c r="B158" s="8" t="n">
        <x:v>18.631761756823494</x:v>
      </x:c>
      <x:c r="C158" s="8"/>
      <x:c r="D158" s="8"/>
      <x:c r="E158" s="8" t="n">
        <x:v>12</x:v>
      </x:c>
      <x:c r="F158" s="8" t="n">
        <x:v>159.11904761904762</x:v>
      </x:c>
      <x:c r="G158" s="8" t="n">
        <x:v>115.24</x:v>
      </x:c>
      <x:c r="H158" s="9" t="n">
        <x:v>15308392.82</x:v>
      </x:c>
      <x:c r="I158" s="9" t="n">
        <x:v>13709527.90391505</x:v>
      </x:c>
      <x:c r="J158" s="8" t="n">
        <x:v>2.4291434516129033</x:v>
      </x:c>
      <x:c r="K158" s="8"/>
      <x:c r="L158" s="8"/>
      <x:c r="M158" s="3" t="str">
        <x:v>Not available</x:v>
      </x:c>
    </x:row>
    <x:row r="159">
      <x:c r="A159" s="7" t="n">
        <x:v>41306</x:v>
      </x:c>
      <x:c r="B159" s="8" t="n">
        <x:v>18.771210622175953</x:v>
      </x:c>
      <x:c r="C159" s="8"/>
      <x:c r="D159" s="8"/>
      <x:c r="E159" s="8" t="n">
        <x:v>12</x:v>
      </x:c>
      <x:c r="F159" s="8" t="n">
        <x:v>158.7</x:v>
      </x:c>
      <x:c r="G159" s="8" t="n">
        <x:v>118.81</x:v>
      </x:c>
      <x:c r="H159" s="9" t="n">
        <x:v>15547624.71</x:v>
      </x:c>
      <x:c r="I159" s="9" t="n">
        <x:v>13757630.27603443</x:v>
      </x:c>
      <x:c r="J159" s="8" t="n">
        <x:v>2.227079</x:v>
      </x:c>
      <x:c r="K159" s="8"/>
      <x:c r="L159" s="8"/>
      <x:c r="M159" s="3" t="str">
        <x:v>Not available</x:v>
      </x:c>
    </x:row>
    <x:row r="160">
      <x:c r="A160" s="7" t="n">
        <x:v>41334</x:v>
      </x:c>
      <x:c r="B160" s="8" t="n">
        <x:v>18.90510633355763</x:v>
      </x:c>
      <x:c r="C160" s="8"/>
      <x:c r="D160" s="8"/>
      <x:c r="E160" s="8" t="n">
        <x:v>12</x:v>
      </x:c>
      <x:c r="F160" s="8" t="n">
        <x:v>159.8</x:v>
      </x:c>
      <x:c r="G160" s="8" t="n">
        <x:v>112.79</x:v>
      </x:c>
      <x:c r="H160" s="9" t="n">
        <x:v>15669169.15</x:v>
      </x:c>
      <x:c r="I160" s="9" t="n">
        <x:v>13926713.30587108</x:v>
      </x:c>
      <x:c r="J160" s="8" t="n">
        <x:v>2.2115859677419354</x:v>
      </x:c>
      <x:c r="K160" s="8"/>
      <x:c r="L160" s="8"/>
      <x:c r="M160" s="3" t="str">
        <x:v>Not available</x:v>
      </x:c>
    </x:row>
    <x:row r="161">
      <x:c r="A161" s="7" t="n">
        <x:v>41365</x:v>
      </x:c>
      <x:c r="B161" s="8" t="n">
        <x:v>19.009424655112735</x:v>
      </x:c>
      <x:c r="C161" s="8"/>
      <x:c r="D161" s="8"/>
      <x:c r="E161" s="8" t="n">
        <x:v>12</x:v>
      </x:c>
      <x:c r="F161" s="8" t="n">
        <x:v>159.8095238095238</x:v>
      </x:c>
      <x:c r="G161" s="8" t="n">
        <x:v>105.55</x:v>
      </x:c>
      <x:c r="H161" s="9" t="n">
        <x:v>15634382.05</x:v>
      </x:c>
      <x:c r="I161" s="9" t="n">
        <x:v>14160772.589691408</x:v>
      </x:c>
      <x:c r="J161" s="8" t="n">
        <x:v>2.2272306</x:v>
      </x:c>
      <x:c r="K161" s="8"/>
      <x:c r="L161" s="8"/>
      <x:c r="M161" s="3" t="str">
        <x:v>Not available</x:v>
      </x:c>
    </x:row>
    <x:row r="162">
      <x:c r="A162" s="7" t="n">
        <x:v>41395</x:v>
      </x:c>
      <x:c r="B162" s="8" t="n">
        <x:v>19.13733098002036</x:v>
      </x:c>
      <x:c r="C162" s="8"/>
      <x:c r="D162" s="8"/>
      <x:c r="E162" s="8" t="n">
        <x:v>12</x:v>
      </x:c>
      <x:c r="F162" s="8" t="n">
        <x:v>159.57142857142858</x:v>
      </x:c>
      <x:c r="G162" s="8" t="n">
        <x:v>106</x:v>
      </x:c>
      <x:c r="H162" s="9" t="n">
        <x:v>15424052.62</x:v>
      </x:c>
      <x:c r="I162" s="9" t="n">
        <x:v>14207906.478832431</x:v>
      </x:c>
      <x:c r="J162" s="8" t="n">
        <x:v>2.064986935483871</x:v>
      </x:c>
      <x:c r="K162" s="8"/>
      <x:c r="L162" s="8"/>
      <x:c r="M162" s="3" t="str">
        <x:v>Not available</x:v>
      </x:c>
    </x:row>
    <x:row r="163">
      <x:c r="A163" s="7" t="n">
        <x:v>41426</x:v>
      </x:c>
      <x:c r="B163" s="8" t="n">
        <x:v>19.249350705683778</x:v>
      </x:c>
      <x:c r="C163" s="8"/>
      <x:c r="D163" s="8"/>
      <x:c r="E163" s="8" t="n">
        <x:v>12</x:v>
      </x:c>
      <x:c r="F163" s="8" t="n">
        <x:v>160.975</x:v>
      </x:c>
      <x:c r="G163" s="8" t="n">
        <x:v>106.06</x:v>
      </x:c>
      <x:c r="H163" s="9" t="n">
        <x:v>15593172.51</x:v>
      </x:c>
      <x:c r="I163" s="9" t="n">
        <x:v>14395619.36696016</x:v>
      </x:c>
      <x:c r="J163" s="8" t="n">
        <x:v>2.0187969</x:v>
      </x:c>
      <x:c r="K163" s="8"/>
      <x:c r="L163" s="8"/>
      <x:c r="M163" s="3" t="str">
        <x:v>Not available</x:v>
      </x:c>
    </x:row>
    <x:row r="164">
      <x:c r="A164" s="7" t="n">
        <x:v>41456</x:v>
      </x:c>
      <x:c r="B164" s="8" t="n">
        <x:v>19.353526254647708</x:v>
      </x:c>
      <x:c r="C164" s="8"/>
      <x:c r="D164" s="8"/>
      <x:c r="E164" s="8" t="n">
        <x:v>12</x:v>
      </x:c>
      <x:c r="F164" s="8" t="n">
        <x:v>162.43478260869566</x:v>
      </x:c>
      <x:c r="G164" s="8" t="n">
        <x:v>109.78</x:v>
      </x:c>
      <x:c r="H164" s="9" t="n">
        <x:v>14811429.8</x:v>
      </x:c>
      <x:c r="I164" s="9" t="n">
        <x:v>14336443.706416372</x:v>
      </x:c>
      <x:c r="J164" s="8" t="n">
        <x:v>2.1957218064516133</x:v>
      </x:c>
      <x:c r="K164" s="8"/>
      <x:c r="L164" s="8"/>
      <x:c r="M164" s="3" t="str">
        <x:v>Not available</x:v>
      </x:c>
    </x:row>
    <x:row r="165">
      <x:c r="A165" s="7" t="n">
        <x:v>41487</x:v>
      </x:c>
      <x:c r="B165" s="8" t="n">
        <x:v>19.401743745696518</x:v>
      </x:c>
      <x:c r="C165" s="8"/>
      <x:c r="D165" s="8"/>
      <x:c r="E165" s="8" t="n">
        <x:v>12</x:v>
      </x:c>
      <x:c r="F165" s="8" t="n">
        <x:v>162.275</x:v>
      </x:c>
      <x:c r="G165" s="8" t="n">
        <x:v>107.84</x:v>
      </x:c>
      <x:c r="H165" s="9" t="n">
        <x:v>14619449.23</x:v>
      </x:c>
      <x:c r="I165" s="9" t="n">
        <x:v>14648163.843193822</x:v>
      </x:c>
      <x:c r="J165" s="8" t="n">
        <x:v>2.2942930967741932</x:v>
      </x:c>
      <x:c r="K165" s="8"/>
      <x:c r="L165" s="8"/>
      <x:c r="M165" s="3" t="str">
        <x:v>Not available</x:v>
      </x:c>
    </x:row>
    <x:row r="166">
      <x:c r="A166" s="7" t="n">
        <x:v>41518</x:v>
      </x:c>
      <x:c r="B166" s="8" t="n">
        <x:v>19.547982219644773</x:v>
      </x:c>
      <x:c r="C166" s="8"/>
      <x:c r="D166" s="8"/>
      <x:c r="E166" s="8" t="n">
        <x:v>12</x:v>
      </x:c>
      <x:c r="F166" s="8" t="n">
        <x:v>163.14285714285714</x:v>
      </x:c>
      <x:c r="G166" s="8" t="n">
        <x:v>113.59</x:v>
      </x:c>
      <x:c r="H166" s="9" t="n">
        <x:v>14362451.07</x:v>
      </x:c>
      <x:c r="I166" s="9" t="n">
        <x:v>14974616.371433591</x:v>
      </x:c>
      <x:c r="J166" s="8" t="n">
        <x:v>2.2173287333333334</x:v>
      </x:c>
      <x:c r="K166" s="8"/>
      <x:c r="L166" s="8"/>
      <x:c r="M166" s="3" t="str">
        <x:v>Not available</x:v>
      </x:c>
    </x:row>
    <x:row r="167">
      <x:c r="A167" s="7" t="n">
        <x:v>41548</x:v>
      </x:c>
      <x:c r="B167" s="8" t="n">
        <x:v>19.69415806447357</x:v>
      </x:c>
      <x:c r="C167" s="8"/>
      <x:c r="D167" s="8"/>
      <x:c r="E167" s="8" t="n">
        <x:v>12</x:v>
      </x:c>
      <x:c r="F167" s="8" t="n">
        <x:v>165</x:v>
      </x:c>
      <x:c r="G167" s="8" t="n">
        <x:v>112.29</x:v>
      </x:c>
      <x:c r="H167" s="9" t="n">
        <x:v>14529508</x:v>
      </x:c>
      <x:c r="I167" s="9" t="n">
        <x:v>14971408.822067391</x:v>
      </x:c>
      <x:c r="J167" s="8" t="n">
        <x:v>2.2285086451612903</x:v>
      </x:c>
      <x:c r="K167" s="8"/>
      <x:c r="L167" s="8"/>
      <x:c r="M167" s="3" t="str">
        <x:v>Not available</x:v>
      </x:c>
    </x:row>
    <x:row r="168">
      <x:c r="A168" s="7" t="n">
        <x:v>41579</x:v>
      </x:c>
      <x:c r="B168" s="8" t="n">
        <x:v>19.835562997136364</x:v>
      </x:c>
      <x:c r="C168" s="8"/>
      <x:c r="D168" s="8"/>
      <x:c r="E168" s="8" t="n">
        <x:v>12</x:v>
      </x:c>
      <x:c r="F168" s="8" t="n">
        <x:v>167.14285714285714</x:v>
      </x:c>
      <x:c r="G168" s="8" t="n">
        <x:v>111.14</x:v>
      </x:c>
      <x:c r="H168" s="9" t="n">
        <x:v>14734882.8</x:v>
      </x:c>
      <x:c r="I168" s="9" t="n">
        <x:v>15168382.782575395</x:v>
      </x:c>
      <x:c r="J168" s="8" t="n">
        <x:v>2.0882547333333332</x:v>
      </x:c>
      <x:c r="K168" s="8"/>
      <x:c r="L168" s="8"/>
      <x:c r="M168" s="3" t="str">
        <x:v>Not available</x:v>
      </x:c>
    </x:row>
    <x:row r="169">
      <x:c r="A169" s="7" t="n">
        <x:v>41609</x:v>
      </x:c>
      <x:c r="B169" s="8" t="n">
        <x:v>19.989432255250378</x:v>
      </x:c>
      <x:c r="C169" s="8"/>
      <x:c r="D169" s="8"/>
      <x:c r="E169" s="8" t="n">
        <x:v>12</x:v>
      </x:c>
      <x:c r="F169" s="8" t="n">
        <x:v>171.4</x:v>
      </x:c>
      <x:c r="G169" s="8" t="n">
        <x:v>112.75</x:v>
      </x:c>
      <x:c r="H169" s="9" t="n">
        <x:v>15688963.55</x:v>
      </x:c>
      <x:c r="I169" s="9" t="n">
        <x:v>15279756.607992057</x:v>
      </x:c>
      <x:c r="J169" s="8" t="n">
        <x:v>2.1106489677419353</x:v>
      </x:c>
      <x:c r="K169" s="8"/>
      <x:c r="L169" s="8"/>
      <x:c r="M169" s="3" t="str">
        <x:v>Not available</x:v>
      </x:c>
    </x:row>
    <x:row r="170">
      <x:c r="A170" s="7" t="n">
        <x:v>41640</x:v>
      </x:c>
      <x:c r="B170" s="8" t="n">
        <x:v>20.117932635355995</x:v>
      </x:c>
      <x:c r="C170" s="8"/>
      <x:c r="D170" s="8"/>
      <x:c r="E170" s="8" t="n">
        <x:v>12</x:v>
      </x:c>
      <x:c r="F170" s="8" t="n">
        <x:v>171.71428571428572</x:v>
      </x:c>
      <x:c r="G170" s="8" t="n">
        <x:v>110.19</x:v>
      </x:c>
      <x:c r="H170" s="9" t="n">
        <x:v>15493689.5</x:v>
      </x:c>
      <x:c r="I170" s="9" t="n">
        <x:v>15601016.27446477</x:v>
      </x:c>
      <x:c r="J170" s="8" t="n">
        <x:v>2.2919393870967744</x:v>
      </x:c>
      <x:c r="K170" s="8"/>
      <x:c r="L170" s="8"/>
      <x:c r="M170" s="3" t="str">
        <x:v>Not available</x:v>
      </x:c>
    </x:row>
    <x:row r="171">
      <x:c r="A171" s="7" t="n">
        <x:v>41671</x:v>
      </x:c>
      <x:c r="B171" s="8" t="n">
        <x:v>20.217917363268537</x:v>
      </x:c>
      <x:c r="C171" s="8"/>
      <x:c r="D171" s="8"/>
      <x:c r="E171" s="8" t="n">
        <x:v>12</x:v>
      </x:c>
      <x:c r="F171" s="8" t="n">
        <x:v>169.45</x:v>
      </x:c>
      <x:c r="G171" s="8" t="n">
        <x:v>110.83</x:v>
      </x:c>
      <x:c r="H171" s="9" t="n">
        <x:v>15424175.18</x:v>
      </x:c>
      <x:c r="I171" s="9" t="n">
        <x:v>15828608.5804958</x:v>
      </x:c>
      <x:c r="J171" s="8" t="n">
        <x:v>2.3037119642857142</x:v>
      </x:c>
      <x:c r="K171" s="8"/>
      <x:c r="L171" s="8"/>
      <x:c r="M171" s="3" t="str">
        <x:v>Not available</x:v>
      </x:c>
    </x:row>
    <x:row r="172">
      <x:c r="A172" s="7" t="n">
        <x:v>41699</x:v>
      </x:c>
      <x:c r="B172" s="8" t="n">
        <x:v>20.376561400936374</x:v>
      </x:c>
      <x:c r="C172" s="8"/>
      <x:c r="D172" s="8"/>
      <x:c r="E172" s="8" t="n">
        <x:v>12</x:v>
      </x:c>
      <x:c r="F172" s="8" t="n">
        <x:v>171.5</x:v>
      </x:c>
      <x:c r="G172" s="8" t="n">
        <x:v>109.47</x:v>
      </x:c>
      <x:c r="H172" s="9" t="n">
        <x:v>17732918.55</x:v>
      </x:c>
      <x:c r="I172" s="9" t="n">
        <x:v>16034173.3441905</x:v>
      </x:c>
      <x:c r="J172" s="8" t="n">
        <x:v>2.144464806451613</x:v>
      </x:c>
      <x:c r="K172" s="8"/>
      <x:c r="L172" s="8"/>
      <x:c r="M172" s="3" t="str">
        <x:v>Not available</x:v>
      </x:c>
    </x:row>
    <x:row r="173">
      <x:c r="A173" s="7" t="n">
        <x:v>41730</x:v>
      </x:c>
      <x:c r="B173" s="8" t="n">
        <x:v>20.50189927927648</x:v>
      </x:c>
      <x:c r="C173" s="8"/>
      <x:c r="D173" s="8"/>
      <x:c r="E173" s="8" t="n">
        <x:v>12</x:v>
      </x:c>
      <x:c r="F173" s="8" t="n">
        <x:v>170.25</x:v>
      </x:c>
      <x:c r="G173" s="8" t="n">
        <x:v>110.41</x:v>
      </x:c>
      <x:c r="H173" s="9" t="n">
        <x:v>17886647.83</x:v>
      </x:c>
      <x:c r="I173" s="9" t="n">
        <x:v>16200105.719992481</x:v>
      </x:c>
      <x:c r="J173" s="8" t="n">
        <x:v>2.2158339333333332</x:v>
      </x:c>
      <x:c r="K173" s="8"/>
      <x:c r="L173" s="8"/>
      <x:c r="M173" s="3" t="str">
        <x:v>Not available</x:v>
      </x:c>
    </x:row>
    <x:row r="174">
      <x:c r="A174" s="7" t="n">
        <x:v>41760</x:v>
      </x:c>
      <x:c r="B174" s="8" t="n">
        <x:v>20.661540504940692</x:v>
      </x:c>
      <x:c r="C174" s="8"/>
      <x:c r="D174" s="8"/>
      <x:c r="E174" s="8" t="n">
        <x:v>12</x:v>
      </x:c>
      <x:c r="F174" s="8" t="n">
        <x:v>166.85</x:v>
      </x:c>
      <x:c r="G174" s="8" t="n">
        <x:v>111.9</x:v>
      </x:c>
      <x:c r="H174" s="9" t="n">
        <x:v>17622558.39</x:v>
      </x:c>
      <x:c r="I174" s="9" t="n">
        <x:v>16156425.22364593</x:v>
      </x:c>
      <x:c r="J174" s="8" t="n">
        <x:v>2.2337619032258065</x:v>
      </x:c>
      <x:c r="K174" s="8"/>
      <x:c r="L174" s="8"/>
      <x:c r="M174" s="3" t="str">
        <x:v>Not available</x:v>
      </x:c>
    </x:row>
    <x:row r="175">
      <x:c r="A175" s="7" t="n">
        <x:v>41791</x:v>
      </x:c>
      <x:c r="B175" s="8" t="n">
        <x:v>20.82138176119176</x:v>
      </x:c>
      <x:c r="C175" s="8"/>
      <x:c r="D175" s="8"/>
      <x:c r="E175" s="8" t="n">
        <x:v>12</x:v>
      </x:c>
      <x:c r="F175" s="8" t="n">
        <x:v>167.16666666666666</x:v>
      </x:c>
      <x:c r="G175" s="8" t="n">
        <x:v>114.6</x:v>
      </x:c>
      <x:c r="H175" s="9" t="n">
        <x:v>17576640.29</x:v>
      </x:c>
      <x:c r="I175" s="9" t="n">
        <x:v>16376205.661944658</x:v>
      </x:c>
      <x:c r="J175" s="8" t="n">
        <x:v>2.168584933333333</x:v>
      </x:c>
      <x:c r="K175" s="8"/>
      <x:c r="L175" s="8"/>
      <x:c r="M175" s="3" t="str">
        <x:v>Not available</x:v>
      </x:c>
    </x:row>
    <x:row r="176">
      <x:c r="A176" s="7" t="n">
        <x:v>41821</x:v>
      </x:c>
      <x:c r="B176" s="8" t="n">
        <x:v>20.95622735894347</x:v>
      </x:c>
      <x:c r="C176" s="8"/>
      <x:c r="D176" s="8"/>
      <x:c r="E176" s="8" t="n">
        <x:v>12</x:v>
      </x:c>
      <x:c r="F176" s="8" t="n">
        <x:v>167.71428571428572</x:v>
      </x:c>
      <x:c r="G176" s="8" t="n">
        <x:v>109.63</x:v>
      </x:c>
      <x:c r="H176" s="9" t="n">
        <x:v>18102242.84</x:v>
      </x:c>
      <x:c r="I176" s="9" t="n">
        <x:v>16637868.201934952</x:v>
      </x:c>
      <x:c r="J176" s="8" t="n">
        <x:v>2.058824161290323</x:v>
      </x:c>
      <x:c r="K176" s="8"/>
      <x:c r="L176" s="8" t="n">
        <x:v>51.3268264368522</x:v>
      </x:c>
      <x:c r="M176" s="3" t="str">
        <x:v>Pulled from master workbook</x:v>
      </x:c>
    </x:row>
    <x:row r="177">
      <x:c r="A177" s="7" t="n">
        <x:v>41852</x:v>
      </x:c>
      <x:c r="B177" s="8" t="n">
        <x:v>21.05755262754427</x:v>
      </x:c>
      <x:c r="C177" s="8"/>
      <x:c r="D177" s="8"/>
      <x:c r="E177" s="8" t="n">
        <x:v>12</x:v>
      </x:c>
      <x:c r="F177" s="8" t="n">
        <x:v>170.35714285714286</x:v>
      </x:c>
      <x:c r="G177" s="8" t="n">
        <x:v>102.33</x:v>
      </x:c>
      <x:c r="H177" s="9" t="n">
        <x:v>17898902.47</x:v>
      </x:c>
      <x:c r="I177" s="9" t="n">
        <x:v>16784434.16685953</x:v>
      </x:c>
      <x:c r="J177" s="8" t="n">
        <x:v>2.196676129032258</x:v>
      </x:c>
      <x:c r="K177" s="8"/>
      <x:c r="L177" s="8" t="n">
        <x:v>49.67624511758986</x:v>
      </x:c>
      <x:c r="M177" s="3" t="str">
        <x:v>Pulled from master workbook</x:v>
      </x:c>
    </x:row>
    <x:row r="178">
      <x:c r="A178" s="7" t="n">
        <x:v>41883</x:v>
      </x:c>
      <x:c r="B178" s="8" t="n">
        <x:v>21.173733177341237</x:v>
      </x:c>
      <x:c r="C178" s="8"/>
      <x:c r="D178" s="8"/>
      <x:c r="E178" s="8" t="n">
        <x:v>12</x:v>
      </x:c>
      <x:c r="F178" s="8" t="n">
        <x:v>168.63636363636363</x:v>
      </x:c>
      <x:c r="G178" s="8" t="n">
        <x:v>98.27</x:v>
      </x:c>
      <x:c r="H178" s="9" t="n">
        <x:v>18200156.68</x:v>
      </x:c>
      <x:c r="I178" s="9" t="n">
        <x:v>17094358.32902375</x:v>
      </x:c>
      <x:c r="J178" s="8" t="n">
        <x:v>2.0895165666666666</x:v>
      </x:c>
      <x:c r="K178" s="8"/>
      <x:c r="L178" s="8" t="n">
        <x:v>54.018410221723066</x:v>
      </x:c>
      <x:c r="M178" s="3" t="str">
        <x:v>Pulled from master workbook</x:v>
      </x:c>
    </x:row>
    <x:row r="179">
      <x:c r="A179" s="7" t="n">
        <x:v>41913</x:v>
      </x:c>
      <x:c r="B179" s="8" t="n">
        <x:v>21.281558838567598</x:v>
      </x:c>
      <x:c r="C179" s="8"/>
      <x:c r="D179" s="8"/>
      <x:c r="E179" s="8" t="n">
        <x:v>12</x:v>
      </x:c>
      <x:c r="F179" s="8" t="n">
        <x:v>169.425</x:v>
      </x:c>
      <x:c r="G179" s="8" t="n">
        <x:v>83.5</x:v>
      </x:c>
      <x:c r="H179" s="9" t="n">
        <x:v>18496197.88</x:v>
      </x:c>
      <x:c r="I179" s="9" t="n">
        <x:v>17838612.44264096</x:v>
      </x:c>
      <x:c r="J179" s="8" t="n">
        <x:v>2.2037810967741933</x:v>
      </x:c>
      <x:c r="K179" s="8"/>
      <x:c r="L179" s="8" t="n">
        <x:v>51.87103695614343</x:v>
      </x:c>
      <x:c r="M179" s="3" t="str">
        <x:v>Pulled from master workbook</x:v>
      </x:c>
    </x:row>
    <x:row r="180">
      <x:c r="A180" s="7" t="n">
        <x:v>41944</x:v>
      </x:c>
      <x:c r="B180" s="8" t="n">
        <x:v>21.407933144436257</x:v>
      </x:c>
      <x:c r="C180" s="8"/>
      <x:c r="D180" s="8"/>
      <x:c r="E180" s="8" t="n">
        <x:v>13</x:v>
      </x:c>
      <x:c r="F180" s="8" t="n">
        <x:v>175.85</x:v>
      </x:c>
      <x:c r="G180" s="8" t="n">
        <x:v>80.42</x:v>
      </x:c>
      <x:c r="H180" s="9" t="n">
        <x:v>18804279.94</x:v>
      </x:c>
      <x:c r="I180" s="9" t="n">
        <x:v>18260443.265956283</x:v>
      </x:c>
      <x:c r="J180" s="8" t="n">
        <x:v>2.1199437000000003</x:v>
      </x:c>
      <x:c r="K180" s="8"/>
      <x:c r="L180" s="8" t="n">
        <x:v>52.21377360886168</x:v>
      </x:c>
      <x:c r="M180" s="3" t="str">
        <x:v>Pulled from master workbook</x:v>
      </x:c>
    </x:row>
    <x:row r="181">
      <x:c r="A181" s="7" t="n">
        <x:v>41974</x:v>
      </x:c>
      <x:c r="B181" s="8" t="n">
        <x:v>21.584248538928424</x:v>
      </x:c>
      <x:c r="C181" s="8"/>
      <x:c r="D181" s="8"/>
      <x:c r="E181" s="8" t="n">
        <x:v>13</x:v>
      </x:c>
      <x:c r="F181" s="8" t="n">
        <x:v>188.45238095238096</x:v>
      </x:c>
      <x:c r="G181" s="8" t="n">
        <x:v>63.28</x:v>
      </x:c>
      <x:c r="H181" s="9" t="n">
        <x:v>18913028.98</x:v>
      </x:c>
      <x:c r="I181" s="9" t="n">
        <x:v>18223784.772149958</x:v>
      </x:c>
      <x:c r="J181" s="8" t="n">
        <x:v>2.2325292903225806</x:v>
      </x:c>
      <x:c r="K181" s="8"/>
      <x:c r="L181" s="8" t="n">
        <x:v>49.781432052393754</x:v>
      </x:c>
      <x:c r="M181" s="3" t="str">
        <x:v>Pulled from master workbook</x:v>
      </x:c>
    </x:row>
    <x:row r="182">
      <x:c r="A182" s="7" t="n">
        <x:v>42005</x:v>
      </x:c>
      <x:c r="B182" s="8" t="n">
        <x:v>21.75896371374554</x:v>
      </x:c>
      <x:c r="C182" s="8"/>
      <x:c r="D182" s="8"/>
      <x:c r="E182" s="8" t="n">
        <x:v>13</x:v>
      </x:c>
      <x:c r="F182" s="8" t="n">
        <x:v>213.025</x:v>
      </x:c>
      <x:c r="G182" s="8" t="n">
        <x:v>48.81</x:v>
      </x:c>
      <x:c r="H182" s="9" t="n">
        <x:v>18965533.5</x:v>
      </x:c>
      <x:c r="I182" s="9" t="n">
        <x:v>18385635.794219818</x:v>
      </x:c>
      <x:c r="J182" s="8" t="n">
        <x:v>2.196277193548387</x:v>
      </x:c>
      <x:c r="K182" s="8" t="n">
        <x:v>5.22190321364737</x:v>
      </x:c>
      <x:c r="L182" s="8" t="n">
        <x:v>50.225124280907416</x:v>
      </x:c>
      <x:c r="M182" s="3" t="str">
        <x:v>Pulled from master workbook</x:v>
      </x:c>
    </x:row>
    <x:row r="183">
      <x:c r="A183" s="7" t="n">
        <x:v>42036</x:v>
      </x:c>
      <x:c r="B183" s="8" t="n">
        <x:v>21.90791127829944</x:v>
      </x:c>
      <x:c r="C183" s="8"/>
      <x:c r="D183" s="8"/>
      <x:c r="E183" s="8" t="n">
        <x:v>13</x:v>
      </x:c>
      <x:c r="F183" s="8" t="n">
        <x:v>222.9318181818182</x:v>
      </x:c>
      <x:c r="G183" s="8" t="n">
        <x:v>58.09</x:v>
      </x:c>
      <x:c r="H183" s="9" t="n">
        <x:v>18865922.34</x:v>
      </x:c>
      <x:c r="I183" s="9" t="n">
        <x:v>19055774.26602001</x:v>
      </x:c>
      <x:c r="J183" s="8" t="n">
        <x:v>2.2009211785714284</x:v>
      </x:c>
      <x:c r="K183" s="8" t="n">
        <x:v>5.05778517986601</x:v>
      </x:c>
      <x:c r="L183" s="8" t="n">
        <x:v>52.98873057208826</x:v>
      </x:c>
      <x:c r="M183" s="3" t="str">
        <x:v>Pulled from master workbook</x:v>
      </x:c>
    </x:row>
    <x:row r="184">
      <x:c r="A184" s="7" t="n">
        <x:v>42064</x:v>
      </x:c>
      <x:c r="B184" s="8" t="n">
        <x:v>22.10726447043096</x:v>
      </x:c>
      <x:c r="C184" s="8"/>
      <x:c r="D184" s="8"/>
      <x:c r="E184" s="8" t="n">
        <x:v>13</x:v>
      </x:c>
      <x:c r="F184" s="8" t="n">
        <x:v>222.9318181818182</x:v>
      </x:c>
      <x:c r="G184" s="8" t="n">
        <x:v>56.69</x:v>
      </x:c>
      <x:c r="H184" s="9" t="n">
        <x:v>19132363.3</x:v>
      </x:c>
      <x:c r="I184" s="9" t="n">
        <x:v>18605340.13704236</x:v>
      </x:c>
      <x:c r="J184" s="8" t="n">
        <x:v>2.136637580645161</x:v>
      </x:c>
      <x:c r="K184" s="8" t="n">
        <x:v>6.75683232017672</x:v>
      </x:c>
      <x:c r="L184" s="8" t="n">
        <x:v>48.86793440048752</x:v>
      </x:c>
      <x:c r="M184" s="3" t="str">
        <x:v>Pulled from master workbook</x:v>
      </x:c>
    </x:row>
    <x:row r="185">
      <x:c r="A185" s="7" t="n">
        <x:v>42095</x:v>
      </x:c>
      <x:c r="B185" s="8" t="n">
        <x:v>22.276373245407367</x:v>
      </x:c>
      <x:c r="C185" s="8"/>
      <x:c r="D185" s="8"/>
      <x:c r="E185" s="8" t="n">
        <x:v>13</x:v>
      </x:c>
      <x:c r="F185" s="8" t="n">
        <x:v>210.7</x:v>
      </x:c>
      <x:c r="G185" s="8" t="n">
        <x:v>57.45</x:v>
      </x:c>
      <x:c r="H185" s="9" t="n">
        <x:v>19608078.85</x:v>
      </x:c>
      <x:c r="I185" s="9" t="n">
        <x:v>18695753.0389438</x:v>
      </x:c>
      <x:c r="J185" s="8" t="n">
        <x:v>2.0280425333333336</x:v>
      </x:c>
      <x:c r="K185" s="8" t="n">
        <x:v>4.22983322919492</x:v>
      </x:c>
      <x:c r="L185" s="8" t="n">
        <x:v>52</x:v>
      </x:c>
      <x:c r="M185" s="3" t="str">
        <x:v>Pulled from master workbook</x:v>
      </x:c>
    </x:row>
    <x:row r="186">
      <x:c r="A186" s="7" t="n">
        <x:v>42125</x:v>
      </x:c>
      <x:c r="B186" s="8" t="n">
        <x:v>22.521725921073998</x:v>
      </x:c>
      <x:c r="C186" s="8"/>
      <x:c r="D186" s="8"/>
      <x:c r="E186" s="8" t="n">
        <x:v>13</x:v>
      </x:c>
      <x:c r="F186" s="8" t="n">
        <x:v>219.55263157894737</x:v>
      </x:c>
      <x:c r="G186" s="8" t="n">
        <x:v>65.08</x:v>
      </x:c>
      <x:c r="H186" s="9" t="n">
        <x:v>19196565.14</x:v>
      </x:c>
      <x:c r="I186" s="9" t="n">
        <x:v>18759632.564024124</x:v>
      </x:c>
      <x:c r="J186" s="8" t="n">
        <x:v>2.048035451612903</x:v>
      </x:c>
      <x:c r="K186" s="8" t="n">
        <x:v>9.5626113450138</x:v>
      </x:c>
      <x:c r="L186" s="8" t="n">
        <x:v>49.4</x:v>
      </x:c>
      <x:c r="M186" s="3" t="str">
        <x:v>Pulled from master workbook</x:v>
      </x:c>
    </x:row>
    <x:row r="187">
      <x:c r="A187" s="7" t="n">
        <x:v>42156</x:v>
      </x:c>
      <x:c r="B187" s="8" t="n">
        <x:v>22.730227578053377</x:v>
      </x:c>
      <x:c r="C187" s="8"/>
      <x:c r="D187" s="8"/>
      <x:c r="E187" s="8" t="n">
        <x:v>13</x:v>
      </x:c>
      <x:c r="F187" s="8" t="n">
        <x:v>218.97727272727272</x:v>
      </x:c>
      <x:c r="G187" s="8" t="n">
        <x:v>62.06</x:v>
      </x:c>
      <x:c r="H187" s="9" t="n">
        <x:v>18811429.4</x:v>
      </x:c>
      <x:c r="I187" s="9" t="n">
        <x:v>18894115.34934246</x:v>
      </x:c>
      <x:c r="J187" s="8" t="n">
        <x:v>2.0721729166666667</x:v>
      </x:c>
      <x:c r="K187" s="8" t="n">
        <x:v>6.52479241985662</x:v>
      </x:c>
      <x:c r="L187" s="8" t="n">
        <x:v>49.5</x:v>
      </x:c>
      <x:c r="M187" s="3" t="str">
        <x:v>Pulled from master workbook</x:v>
      </x:c>
    </x:row>
    <x:row r="188">
      <x:c r="A188" s="7" t="n">
        <x:v>42186</x:v>
      </x:c>
      <x:c r="B188" s="8" t="n">
        <x:v>22.88795638895121</x:v>
      </x:c>
      <x:c r="C188" s="8"/>
      <x:c r="D188" s="8"/>
      <x:c r="E188" s="8" t="n">
        <x:v>13</x:v>
      </x:c>
      <x:c r="F188" s="8" t="n">
        <x:v>236.30142857142857</x:v>
      </x:c>
      <x:c r="G188" s="8" t="n">
        <x:v>57.01</x:v>
      </x:c>
      <x:c r="H188" s="9" t="n">
        <x:v>18424703.08</x:v>
      </x:c>
      <x:c r="I188" s="9" t="n">
        <x:v>18673709.176868692</x:v>
      </x:c>
      <x:c r="J188" s="8" t="n">
        <x:v>2.1774050322580645</x:v>
      </x:c>
      <x:c r="K188" s="8" t="n">
        <x:v>5.9521501963966</x:v>
      </x:c>
      <x:c r="L188" s="8" t="n">
        <x:v>47.8</x:v>
      </x:c>
      <x:c r="M188" s="3" t="str">
        <x:v>Pulled from master workbook</x:v>
      </x:c>
    </x:row>
    <x:row r="189">
      <x:c r="A189" s="7" t="n">
        <x:v>42217</x:v>
      </x:c>
      <x:c r="B189" s="8" t="n">
        <x:v>23.023412283047946</x:v>
      </x:c>
      <x:c r="C189" s="8"/>
      <x:c r="D189" s="8"/>
      <x:c r="E189" s="8" t="n">
        <x:v>13</x:v>
      </x:c>
      <x:c r="F189" s="8" t="n">
        <x:v>216.64285714285714</x:v>
      </x:c>
      <x:c r="G189" s="8" t="n">
        <x:v>47.09</x:v>
      </x:c>
      <x:c r="H189" s="9" t="n">
        <x:v>18491571.96</x:v>
      </x:c>
      <x:c r="I189" s="9" t="n">
        <x:v>18648572.617220648</x:v>
      </x:c>
      <x:c r="J189" s="8" t="n">
        <x:v>2.11838</x:v>
      </x:c>
      <x:c r="K189" s="8" t="n">
        <x:v>4.81030898836873</x:v>
      </x:c>
      <x:c r="L189" s="8" t="n">
        <x:v>48.4</x:v>
      </x:c>
      <x:c r="M189" s="3" t="str">
        <x:v>Pulled from master workbook</x:v>
      </x:c>
    </x:row>
    <x:row r="190">
      <x:c r="A190" s="7" t="n">
        <x:v>42248</x:v>
      </x:c>
      <x:c r="B190" s="8" t="n">
        <x:v>23.162804962976615</x:v>
      </x:c>
      <x:c r="C190" s="8"/>
      <x:c r="D190" s="8"/>
      <x:c r="E190" s="8" t="n">
        <x:v>13</x:v>
      </x:c>
      <x:c r="F190" s="8" t="n">
        <x:v>222.675</x:v>
      </x:c>
      <x:c r="G190" s="8" t="n">
        <x:v>48.08</x:v>
      </x:c>
      <x:c r="H190" s="9" t="n">
        <x:v>18718003.11</x:v>
      </x:c>
      <x:c r="I190" s="9" t="n">
        <x:v>18592228.85697267</x:v>
      </x:c>
      <x:c r="J190" s="8" t="n">
        <x:v>2.219488933333333</x:v>
      </x:c>
      <x:c r="K190" s="8" t="n">
        <x:v>4.99374287520193</x:v>
      </x:c>
      <x:c r="L190" s="8" t="n">
        <x:v>50.7</x:v>
      </x:c>
      <x:c r="M190" s="3" t="str">
        <x:v>Pulled from master workbook</x:v>
      </x:c>
    </x:row>
    <x:row r="191">
      <x:c r="A191" s="7" t="n">
        <x:v>42278</x:v>
      </x:c>
      <x:c r="B191" s="8" t="n">
        <x:v>23.25986280238635</x:v>
      </x:c>
      <x:c r="C191" s="8"/>
      <x:c r="D191" s="8"/>
      <x:c r="E191" s="8" t="n">
        <x:v>13</x:v>
      </x:c>
      <x:c r="F191" s="8" t="n">
        <x:v>224.97619047619048</x:v>
      </x:c>
      <x:c r="G191" s="8" t="n">
        <x:v>48.86</x:v>
      </x:c>
      <x:c r="H191" s="9" t="n">
        <x:v>18204395.78</x:v>
      </x:c>
      <x:c r="I191" s="9" t="n">
        <x:v>18541285.676332332</x:v>
      </x:c>
      <x:c r="J191" s="8" t="n">
        <x:v>2.2056251612903224</x:v>
      </x:c>
      <x:c r="K191" s="8" t="n">
        <x:v>4.72229494982468</x:v>
      </x:c>
      <x:c r="L191" s="8" t="n">
        <x:v>49.2</x:v>
      </x:c>
      <x:c r="M191" s="3" t="str">
        <x:v>Pulled from master workbook</x:v>
      </x:c>
    </x:row>
    <x:row r="192">
      <x:c r="A192" s="7" t="n">
        <x:v>42309</x:v>
      </x:c>
      <x:c r="B192" s="8" t="n">
        <x:v>23.413463023077973</x:v>
      </x:c>
      <x:c r="C192" s="8"/>
      <x:c r="D192" s="8"/>
      <x:c r="E192" s="8" t="n">
        <x:v>11</x:v>
      </x:c>
      <x:c r="F192" s="8" t="n">
        <x:v>232.4047619047619</x:v>
      </x:c>
      <x:c r="G192" s="8" t="n">
        <x:v>44.82</x:v>
      </x:c>
      <x:c r="H192" s="9" t="n">
        <x:v>18367238.54</x:v>
      </x:c>
      <x:c r="I192" s="9" t="n">
        <x:v>18597494.224284425</x:v>
      </x:c>
      <x:c r="J192" s="8" t="n">
        <x:v>2.1828166</x:v>
      </x:c>
      <x:c r="K192" s="8" t="n">
        <x:v>6.27169418244091</x:v>
      </x:c>
      <x:c r="L192" s="8" t="n">
        <x:v>51.2</x:v>
      </x:c>
      <x:c r="M192" s="3" t="str">
        <x:v>Pulled from master workbook</x:v>
      </x:c>
    </x:row>
    <x:row r="193">
      <x:c r="A193" s="7" t="n">
        <x:v>42339</x:v>
      </x:c>
      <x:c r="B193" s="8" t="n">
        <x:v>23.64638716342077</x:v>
      </x:c>
      <x:c r="C193" s="8"/>
      <x:c r="D193" s="8"/>
      <x:c r="E193" s="8" t="n">
        <x:v>11</x:v>
      </x:c>
      <x:c r="F193" s="8" t="n">
        <x:v>258.3</x:v>
      </x:c>
      <x:c r="G193" s="8" t="n">
        <x:v>37.8</x:v>
      </x:c>
      <x:c r="H193" s="9" t="n">
        <x:v>20029831.12</x:v>
      </x:c>
      <x:c r="I193" s="9" t="n">
        <x:v>18811524.45379847</x:v>
      </x:c>
      <x:c r="J193" s="8" t="n">
        <x:v>2.0793486451612906</x:v>
      </x:c>
      <x:c r="K193" s="8" t="n">
        <x:v>7.83440296914242</x:v>
      </x:c>
      <x:c r="L193" s="8" t="n">
        <x:v>51.2</x:v>
      </x:c>
      <x:c r="M193" s="3" t="str">
        <x:v>Pulled from master workbook</x:v>
      </x:c>
    </x:row>
    <x:row r="194">
      <x:c r="A194" s="7" t="n">
        <x:v>42370</x:v>
      </x:c>
      <x:c r="B194" s="8" t="n">
        <x:v>23.851458953160602</x:v>
      </x:c>
      <x:c r="C194" s="8"/>
      <x:c r="D194" s="8"/>
      <x:c r="E194" s="8" t="n">
        <x:v>11</x:v>
      </x:c>
      <x:c r="F194" s="8" t="n">
        <x:v>289.775</x:v>
      </x:c>
      <x:c r="G194" s="8" t="n">
        <x:v>30.67</x:v>
      </x:c>
      <x:c r="H194" s="9" t="n">
        <x:v>19799457.54</x:v>
      </x:c>
      <x:c r="I194" s="9" t="n">
        <x:v>18951943.88083728</x:v>
      </x:c>
      <x:c r="J194" s="8" t="n">
        <x:v>2.1492519032258066</x:v>
      </x:c>
      <x:c r="K194" s="8" t="n">
        <x:v>6.75717684917456</x:v>
      </x:c>
      <x:c r="L194" s="8" t="n">
        <x:v>47.2</x:v>
      </x:c>
      <x:c r="M194" s="3" t="str">
        <x:v>Pulled from master workbook</x:v>
      </x:c>
    </x:row>
    <x:row r="195">
      <x:c r="A195" s="7" t="n">
        <x:v>42401</x:v>
      </x:c>
      <x:c r="B195" s="8" t="n">
        <x:v>24.400821465257895</x:v>
      </x:c>
      <x:c r="C195" s="8"/>
      <x:c r="D195" s="8"/>
      <x:c r="E195" s="8" t="n">
        <x:v>11</x:v>
      </x:c>
      <x:c r="F195" s="8" t="n">
        <x:v>329.8333333333333</x:v>
      </x:c>
      <x:c r="G195" s="8" t="n">
        <x:v>31.7</x:v>
      </x:c>
      <x:c r="H195" s="9" t="n">
        <x:v>20620803.08</x:v>
      </x:c>
      <x:c r="I195" s="9" t="n">
        <x:v>18950618.78219051</x:v>
      </x:c>
      <x:c r="J195" s="8" t="n">
        <x:v>2.041825103448276</x:v>
      </x:c>
      <x:c r="K195" s="8" t="n">
        <x:v>8.5939302706922</x:v>
      </x:c>
      <x:c r="L195" s="8" t="n">
        <x:v>45.5</x:v>
      </x:c>
      <x:c r="M195" s="3" t="str">
        <x:v>Pulled from master workbook</x:v>
      </x:c>
    </x:row>
    <x:row r="196">
      <x:c r="A196" s="7" t="n">
        <x:v>42430</x:v>
      </x:c>
      <x:c r="B196" s="8" t="n">
        <x:v>24.93140334659127</x:v>
      </x:c>
      <x:c r="C196" s="8"/>
      <x:c r="D196" s="8"/>
      <x:c r="E196" s="8" t="n">
        <x:v>12</x:v>
      </x:c>
      <x:c r="F196" s="8" t="n">
        <x:v>320.92857142857144</x:v>
      </x:c>
      <x:c r="G196" s="8" t="n">
        <x:v>37.78</x:v>
      </x:c>
      <x:c r="H196" s="9" t="n">
        <x:v>20470436</x:v>
      </x:c>
      <x:c r="I196" s="9" t="n">
        <x:v>18962406.015626032</x:v>
      </x:c>
      <x:c r="J196" s="8" t="n">
        <x:v>1.9575083870967742</x:v>
      </x:c>
      <x:c r="K196" s="8" t="n">
        <x:v>11.1952358845414</x:v>
      </x:c>
      <x:c r="L196" s="8" t="n">
        <x:v>45.9</x:v>
      </x:c>
      <x:c r="M196" s="3" t="str">
        <x:v>Pulled from master workbook</x:v>
      </x:c>
    </x:row>
    <x:row r="197">
      <x:c r="A197" s="7" t="n">
        <x:v>42461</x:v>
      </x:c>
      <x:c r="B197" s="8" t="n">
        <x:v>25.33292431960992</x:v>
      </x:c>
      <x:c r="C197" s="8"/>
      <x:c r="D197" s="8"/>
      <x:c r="E197" s="8" t="n">
        <x:v>12</x:v>
      </x:c>
      <x:c r="F197" s="8" t="n">
        <x:v>320.7142857142857</x:v>
      </x:c>
      <x:c r="G197" s="8" t="n">
        <x:v>41.59</x:v>
      </x:c>
      <x:c r="H197" s="9" t="n">
        <x:v>20727909.47</x:v>
      </x:c>
      <x:c r="I197" s="9" t="n">
        <x:v>18941591.956822</x:v>
      </x:c>
      <x:c r="J197" s="8" t="n">
        <x:v>1.9858312</x:v>
      </x:c>
      <x:c r="K197" s="8" t="n">
        <x:v>14.8133717510851</x:v>
      </x:c>
      <x:c r="L197" s="8" t="n">
        <x:v>43.7</x:v>
      </x:c>
      <x:c r="M197" s="3" t="str">
        <x:v>Pulled from master workbook</x:v>
      </x:c>
    </x:row>
    <x:row r="198">
      <x:c r="A198" s="7" t="n">
        <x:v>42491</x:v>
      </x:c>
      <x:c r="B198" s="8" t="n">
        <x:v>26.02999487462681</x:v>
      </x:c>
      <x:c r="C198" s="8"/>
      <x:c r="D198" s="8"/>
      <x:c r="E198" s="8" t="n">
        <x:v>12</x:v>
      </x:c>
      <x:c r="F198" s="8" t="n">
        <x:v>336.925</x:v>
      </x:c>
      <x:c r="G198" s="8" t="n">
        <x:v>46.99</x:v>
      </x:c>
      <x:c r="H198" s="9" t="n">
        <x:v>21035132.36</x:v>
      </x:c>
      <x:c r="I198" s="9" t="n">
        <x:v>19041243.16680321</x:v>
      </x:c>
      <x:c r="J198" s="8" t="n">
        <x:v>1.6828204516129033</x:v>
      </x:c>
      <x:c r="K198" s="8" t="n">
        <x:v>16.5363429388212</x:v>
      </x:c>
      <x:c r="L198" s="8" t="n">
        <x:v>45.8</x:v>
      </x:c>
      <x:c r="M198" s="3" t="str">
        <x:v>Pulled from master workbook</x:v>
      </x:c>
    </x:row>
    <x:row r="199">
      <x:c r="A199" s="7" t="n">
        <x:v>42522</x:v>
      </x:c>
      <x:c r="B199" s="8" t="n">
        <x:v>26.47620602247518</x:v>
      </x:c>
      <x:c r="C199" s="8"/>
      <x:c r="D199" s="8"/>
      <x:c r="E199" s="8" t="n">
        <x:v>12</x:v>
      </x:c>
      <x:c r="F199" s="8" t="n">
        <x:v>351.8181818181818</x:v>
      </x:c>
      <x:c r="G199" s="8" t="n">
        <x:v>48.46</x:v>
      </x:c>
      <x:c r="H199" s="9" t="n">
        <x:v>22078013.46</x:v>
      </x:c>
      <x:c r="I199" s="9" t="n">
        <x:v>21415047.515245393</x:v>
      </x:c>
      <x:c r="J199" s="8" t="n">
        <x:v>1.7688435666666666</x:v>
      </x:c>
      <x:c r="K199" s="8" t="n">
        <x:v>9.26969290208869</x:v>
      </x:c>
      <x:c r="L199" s="8" t="n">
        <x:v>41.9</x:v>
      </x:c>
      <x:c r="M199" s="3" t="str">
        <x:v>Pulled from master workbook</x:v>
      </x:c>
    </x:row>
    <x:row r="200">
      <x:c r="A200" s="7" t="n">
        <x:v>42552</x:v>
      </x:c>
      <x:c r="B200" s="8" t="n">
        <x:v>26.807899510776846</x:v>
      </x:c>
      <x:c r="C200" s="8"/>
      <x:c r="D200" s="8"/>
      <x:c r="E200" s="8" t="n">
        <x:v>14</x:v>
      </x:c>
      <x:c r="F200" s="8" t="n">
        <x:v>364.47222222222223</x:v>
      </x:c>
      <x:c r="G200" s="8" t="n">
        <x:v>45.92</x:v>
      </x:c>
      <x:c r="H200" s="9" t="n">
        <x:v>22535192.76</x:v>
      </x:c>
      <x:c r="I200" s="9" t="n">
        <x:v>22428016.29999149</x:v>
      </x:c>
      <x:c r="J200" s="8" t="n">
        <x:v>1.6572454193548387</x:v>
      </x:c>
      <x:c r="K200" s="8" t="n">
        <x:v>10.2381904904049</x:v>
      </x:c>
      <x:c r="L200" s="8" t="n">
        <x:v>44.1</x:v>
      </x:c>
      <x:c r="M200" s="3" t="str">
        <x:v>Pulled from master workbook</x:v>
      </x:c>
    </x:row>
    <x:row r="201">
      <x:c r="A201" s="7" t="n">
        <x:v>42583</x:v>
      </x:c>
      <x:c r="B201" s="8" t="n">
        <x:v>27.077678666582074</x:v>
      </x:c>
      <x:c r="C201" s="8"/>
      <x:c r="D201" s="8"/>
      <x:c r="E201" s="8" t="n">
        <x:v>14</x:v>
      </x:c>
      <x:c r="F201" s="8" t="n">
        <x:v>396.1521739130435</x:v>
      </x:c>
      <x:c r="G201" s="8" t="n">
        <x:v>46.15</x:v>
      </x:c>
      <x:c r="H201" s="9" t="n">
        <x:v>22057000.95</x:v>
      </x:c>
      <x:c r="I201" s="9" t="n">
        <x:v>22658162.573725164</x:v>
      </x:c>
      <x:c r="J201" s="8" t="n">
        <x:v>1.5246412903225806</x:v>
      </x:c>
      <x:c r="K201" s="8" t="n">
        <x:v>10.1584413416526</x:v>
      </x:c>
      <x:c r="L201" s="8" t="n">
        <x:v>42.07744281708133</x:v>
      </x:c>
      <x:c r="M201" s="3" t="str">
        <x:v>Pulled from master workbook</x:v>
      </x:c>
    </x:row>
    <x:row r="202">
      <x:c r="A202" s="7" t="n">
        <x:v>42614</x:v>
      </x:c>
      <x:c r="B202" s="8" t="n">
        <x:v>27.29783783315113</x:v>
      </x:c>
      <x:c r="C202" s="8"/>
      <x:c r="D202" s="8"/>
      <x:c r="E202" s="8" t="n">
        <x:v>14</x:v>
      </x:c>
      <x:c r="F202" s="8" t="n">
        <x:v>431.1</x:v>
      </x:c>
      <x:c r="G202" s="8" t="n">
        <x:v>47.43</x:v>
      </x:c>
      <x:c r="H202" s="9" t="n">
        <x:v>22013780.89</x:v>
      </x:c>
      <x:c r="I202" s="9" t="n">
        <x:v>22677974.108147915</x:v>
      </x:c>
      <x:c r="J202" s="8" t="n">
        <x:v>1.6485601</x:v>
      </x:c>
      <x:c r="K202" s="8" t="n">
        <x:v>13.5950416012814</x:v>
      </x:c>
      <x:c r="L202" s="8" t="n">
        <x:v>42.5</x:v>
      </x:c>
      <x:c r="M202" s="3" t="str">
        <x:v>Pulled from master workbook</x:v>
      </x:c>
    </x:row>
    <x:row r="203">
      <x:c r="A203" s="7" t="n">
        <x:v>42644</x:v>
      </x:c>
      <x:c r="B203" s="8" t="n">
        <x:v>27.523316371604178</x:v>
      </x:c>
      <x:c r="C203" s="8"/>
      <x:c r="D203" s="8"/>
      <x:c r="E203" s="8" t="n">
        <x:v>14</x:v>
      </x:c>
      <x:c r="F203" s="8" t="n">
        <x:v>462.025</x:v>
      </x:c>
      <x:c r="G203" s="8" t="n">
        <x:v>50.94</x:v>
      </x:c>
      <x:c r="H203" s="9" t="n">
        <x:v>22180072.3</x:v>
      </x:c>
      <x:c r="I203" s="9" t="n">
        <x:v>22931462.399148166</x:v>
      </x:c>
      <x:c r="J203" s="8" t="n">
        <x:v>1.771729677419355</x:v>
      </x:c>
      <x:c r="K203" s="8" t="n">
        <x:v>8.43677634384522</x:v>
      </x:c>
      <x:c r="L203" s="8" t="n">
        <x:v>44.1</x:v>
      </x:c>
      <x:c r="M203" s="3" t="str">
        <x:v>Pulled from master workbook</x:v>
      </x:c>
    </x:row>
    <x:row r="204">
      <x:c r="A204" s="7" t="n">
        <x:v>42675</x:v>
      </x:c>
      <x:c r="B204" s="8" t="n">
        <x:v>27.739373018276048</x:v>
      </x:c>
      <x:c r="C204" s="8"/>
      <x:c r="D204" s="8"/>
      <x:c r="E204" s="8" t="n">
        <x:v>14</x:v>
      </x:c>
      <x:c r="F204" s="8" t="n">
        <x:v>415.3636363636364</x:v>
      </x:c>
      <x:c r="G204" s="8" t="n">
        <x:v>45.25</x:v>
      </x:c>
      <x:c r="H204" s="9" t="n">
        <x:v>22386048.43</x:v>
      </x:c>
      <x:c r="I204" s="9" t="n">
        <x:v>23018125.76721568</x:v>
      </x:c>
      <x:c r="J204" s="8" t="n">
        <x:v>1.9284866666666667</x:v>
      </x:c>
      <x:c r="K204" s="8" t="n">
        <x:v>9.16312571745199</x:v>
      </x:c>
      <x:c r="L204" s="8" t="n">
        <x:v>46</x:v>
      </x:c>
      <x:c r="M204" s="3" t="str">
        <x:v>Pulled from master workbook</x:v>
      </x:c>
    </x:row>
    <x:row r="205">
      <x:c r="A205" s="7" t="n">
        <x:v>42705</x:v>
      </x:c>
      <x:c r="B205" s="8" t="n">
        <x:v>28.032074025455</x:v>
      </x:c>
      <x:c r="C205" s="8"/>
      <x:c r="D205" s="8"/>
      <x:c r="E205" s="8" t="n">
        <x:v>14</x:v>
      </x:c>
      <x:c r="F205" s="8" t="n">
        <x:v>455.2631578947368</x:v>
      </x:c>
      <x:c r="G205" s="8" t="n">
        <x:v>53.48</x:v>
      </x:c>
      <x:c r="H205" s="9" t="n">
        <x:v>23591732.58</x:v>
      </x:c>
      <x:c r="I205" s="9" t="n">
        <x:v>22326326.23842578</x:v>
      </x:c>
      <x:c r="J205" s="8" t="n">
        <x:v>1.5768379677419355</x:v>
      </x:c>
      <x:c r="K205" s="8" t="n">
        <x:v>9.49989490802276</x:v>
      </x:c>
      <x:c r="L205" s="8" t="n">
        <x:v>52</x:v>
      </x:c>
      <x:c r="M205" s="3" t="str">
        <x:v>Pulled from master workbook</x:v>
      </x:c>
    </x:row>
    <x:row r="206">
      <x:c r="A206" s="7" t="n">
        <x:v>42736</x:v>
      </x:c>
      <x:c r="B206" s="8" t="n">
        <x:v>28.3161755756903</x:v>
      </x:c>
      <x:c r="C206" s="8"/>
      <x:c r="D206" s="8"/>
      <x:c r="E206" s="8" t="n">
        <x:v>14</x:v>
      </x:c>
      <x:c r="F206" s="8" t="n">
        <x:v>493.2857142857143</x:v>
      </x:c>
      <x:c r="G206" s="8" t="n">
        <x:v>55.01</x:v>
      </x:c>
      <x:c r="H206" s="9" t="n">
        <x:v>23096526.55</x:v>
      </x:c>
      <x:c r="I206" s="9" t="n">
        <x:v>22354452.83471758</x:v>
      </x:c>
      <x:c r="J206" s="8" t="n">
        <x:v>1.8372289677419356</x:v>
      </x:c>
      <x:c r="K206" s="8" t="n">
        <x:v>10.469713575337</x:v>
      </x:c>
      <x:c r="L206" s="8" t="n">
        <x:v>48.2</x:v>
      </x:c>
      <x:c r="M206" s="3" t="str">
        <x:v>Pulled from master workbook</x:v>
      </x:c>
    </x:row>
    <x:row r="207">
      <x:c r="A207" s="7" t="n">
        <x:v>42767</x:v>
      </x:c>
      <x:c r="B207" s="8" t="n">
        <x:v>28.739385668842598</x:v>
      </x:c>
      <x:c r="C207" s="8"/>
      <x:c r="D207" s="8"/>
      <x:c r="E207" s="8" t="n">
        <x:v>14</x:v>
      </x:c>
      <x:c r="F207" s="8" t="n">
        <x:v>494.7</x:v>
      </x:c>
      <x:c r="G207" s="8" t="n">
        <x:v>46.39</x:v>
      </x:c>
      <x:c r="H207" s="9" t="n">
        <x:v>22210954.84</x:v>
      </x:c>
      <x:c r="I207" s="9" t="n">
        <x:v>22382567.741726622</x:v>
      </x:c>
      <x:c r="J207" s="8" t="n">
        <x:v>1.817901642857143</x:v>
      </x:c>
      <x:c r="K207" s="8" t="n">
        <x:v>9.14634157668397</x:v>
      </x:c>
      <x:c r="L207" s="8" t="n">
        <x:v>44.6</x:v>
      </x:c>
      <x:c r="M207" s="3" t="str">
        <x:v>Pulled from master workbook</x:v>
      </x:c>
    </x:row>
    <x:row r="208">
      <x:c r="A208" s="7" t="n">
        <x:v>42795</x:v>
      </x:c>
      <x:c r="B208" s="8" t="n">
        <x:v>29.233452729247944</x:v>
      </x:c>
      <x:c r="C208" s="8"/>
      <x:c r="D208" s="8"/>
      <x:c r="E208" s="8" t="n">
        <x:v>14</x:v>
      </x:c>
      <x:c r="F208" s="8" t="n">
        <x:v>429.4782608695652</x:v>
      </x:c>
      <x:c r="G208" s="8" t="n">
        <x:v>52.13</x:v>
      </x:c>
      <x:c r="H208" s="9" t="n">
        <x:v>22304267.84</x:v>
      </x:c>
      <x:c r="I208" s="9" t="n">
        <x:v>22750549.16531034</x:v>
      </x:c>
      <x:c r="J208" s="8" t="n">
        <x:v>1.598963064516129</x:v>
      </x:c>
      <x:c r="K208" s="8" t="n">
        <x:v>6.60602267809231</x:v>
      </x:c>
      <x:c r="L208" s="8" t="n">
        <x:v>47.670392643214875</x:v>
      </x:c>
      <x:c r="M208" s="3" t="str">
        <x:v>Pulled from master workbook</x:v>
      </x:c>
    </x:row>
    <x:row r="209">
      <x:c r="A209" s="7" t="n">
        <x:v>42826</x:v>
      </x:c>
      <x:c r="B209" s="8" t="n">
        <x:v>29.701439889504815</x:v>
      </x:c>
      <x:c r="C209" s="8"/>
      <x:c r="D209" s="8"/>
      <x:c r="E209" s="8" t="n">
        <x:v>14</x:v>
      </x:c>
      <x:c r="F209" s="8" t="n">
        <x:v>392.8888888888889</x:v>
      </x:c>
      <x:c r="G209" s="8" t="n">
        <x:v>52.94</x:v>
      </x:c>
      <x:c r="H209" s="9" t="n">
        <x:v>21768241.12</x:v>
      </x:c>
      <x:c r="I209" s="9" t="n">
        <x:v>22508653.12109283</x:v>
      </x:c>
      <x:c r="J209" s="8" t="n">
        <x:v>1.7931373666666668</x:v>
      </x:c>
      <x:c r="K209" s="8" t="n">
        <x:v>5.64226451811815</x:v>
      </x:c>
      <x:c r="L209" s="8" t="n">
        <x:v>51.1</x:v>
      </x:c>
      <x:c r="M209" s="3" t="str">
        <x:v>Pulled from master workbook</x:v>
      </x:c>
    </x:row>
    <x:row r="210">
      <x:c r="A210" s="7" t="n">
        <x:v>42856</x:v>
      </x:c>
      <x:c r="B210" s="8" t="n">
        <x:v>30.260229271549335</x:v>
      </x:c>
      <x:c r="C210" s="8"/>
      <x:c r="D210" s="8"/>
      <x:c r="E210" s="8" t="n">
        <x:v>14</x:v>
      </x:c>
      <x:c r="F210" s="8" t="n">
        <x:v>384.4761904761905</x:v>
      </x:c>
      <x:c r="G210" s="8" t="n">
        <x:v>50.57</x:v>
      </x:c>
      <x:c r="H210" s="9" t="n">
        <x:v>22047770.68</x:v>
      </x:c>
      <x:c r="I210" s="9" t="n">
        <x:v>22344146.252906933</x:v>
      </x:c>
      <x:c r="J210" s="8" t="n">
        <x:v>1.8782173548387096</x:v>
      </x:c>
      <x:c r="K210" s="8" t="n">
        <x:v>7.2178633608361</x:v>
      </x:c>
      <x:c r="L210" s="8" t="n">
        <x:v>52.5</x:v>
      </x:c>
      <x:c r="M210" s="3" t="str">
        <x:v>Pulled from master workbook</x:v>
      </x:c>
    </x:row>
    <x:row r="211">
      <x:c r="A211" s="7" t="n">
        <x:v>42887</x:v>
      </x:c>
      <x:c r="B211" s="8" t="n">
        <x:v>30.738450930834198</x:v>
      </x:c>
      <x:c r="C211" s="8"/>
      <x:c r="D211" s="8"/>
      <x:c r="E211" s="8" t="n">
        <x:v>14</x:v>
      </x:c>
      <x:c r="F211" s="8" t="n">
        <x:v>366.25</x:v>
      </x:c>
      <x:c r="G211" s="8" t="n">
        <x:v>47.42</x:v>
      </x:c>
      <x:c r="H211" s="9" t="n">
        <x:v>21980582.35</x:v>
      </x:c>
      <x:c r="I211" s="9" t="n">
        <x:v>22356800.861602373</x:v>
      </x:c>
      <x:c r="J211" s="8" t="n">
        <x:v>1.9534355</x:v>
      </x:c>
      <x:c r="K211" s="8" t="n">
        <x:v>5.70913501499832</x:v>
      </x:c>
      <x:c r="L211" s="8" t="n">
        <x:v>52.9</x:v>
      </x:c>
      <x:c r="M211" s="3" t="str">
        <x:v>Pulled from master workbook</x:v>
      </x:c>
    </x:row>
    <x:row r="212">
      <x:c r="A212" s="7" t="n">
        <x:v>42917</x:v>
      </x:c>
      <x:c r="B212" s="8" t="n">
        <x:v>31.11134738684482</x:v>
      </x:c>
      <x:c r="C212" s="8"/>
      <x:c r="D212" s="8"/>
      <x:c r="E212" s="8" t="n">
        <x:v>14</x:v>
      </x:c>
      <x:c r="F212" s="8" t="n">
        <x:v>365.3809523809524</x:v>
      </x:c>
      <x:c r="G212" s="8" t="n">
        <x:v>49.01</x:v>
      </x:c>
      <x:c r="H212" s="9" t="n">
        <x:v>22195019.77</x:v>
      </x:c>
      <x:c r="I212" s="9" t="n">
        <x:v>22595079.325131536</x:v>
      </x:c>
      <x:c r="J212" s="8" t="n">
        <x:v>2.01495564516129</x:v>
      </x:c>
      <x:c r="K212" s="8" t="n">
        <x:v>5.31997793520006</x:v>
      </x:c>
      <x:c r="L212" s="8" t="n">
        <x:v>54.1</x:v>
      </x:c>
      <x:c r="M212" s="3" t="str">
        <x:v>Pulled from master workbook</x:v>
      </x:c>
    </x:row>
    <x:row r="213">
      <x:c r="A213" s="7" t="n">
        <x:v>42948</x:v>
      </x:c>
      <x:c r="B213" s="8" t="n">
        <x:v>31.413221619879614</x:v>
      </x:c>
      <x:c r="C213" s="8"/>
      <x:c r="D213" s="8"/>
      <x:c r="E213" s="8" t="n">
        <x:v>14</x:v>
      </x:c>
      <x:c r="F213" s="8" t="n">
        <x:v>365.5652173913044</x:v>
      </x:c>
      <x:c r="G213" s="8" t="n">
        <x:v>51.64</x:v>
      </x:c>
      <x:c r="H213" s="9" t="n">
        <x:v>21851454.31</x:v>
      </x:c>
      <x:c r="I213" s="9" t="n">
        <x:v>22707563.655740462</x:v>
      </x:c>
      <x:c r="J213" s="8" t="n">
        <x:v>1.9943119032258065</x:v>
      </x:c>
      <x:c r="K213" s="8" t="n">
        <x:v>4.55083223808641</x:v>
      </x:c>
      <x:c r="L213" s="8" t="n">
        <x:v>53.6</x:v>
      </x:c>
      <x:c r="M213" s="3" t="str">
        <x:v>Pulled from master workbook</x:v>
      </x:c>
    </x:row>
    <x:row r="214">
      <x:c r="A214" s="7" t="n">
        <x:v>42979</x:v>
      </x:c>
      <x:c r="B214" s="8" t="n">
        <x:v>31.659759421818954</x:v>
      </x:c>
      <x:c r="C214" s="8"/>
      <x:c r="D214" s="8"/>
      <x:c r="E214" s="8" t="n">
        <x:v>14</x:v>
      </x:c>
      <x:c r="F214" s="8" t="n">
        <x:v>365.55263157894734</x:v>
      </x:c>
      <x:c r="G214" s="8" t="n">
        <x:v>56.79</x:v>
      </x:c>
      <x:c r="H214" s="9" t="n">
        <x:v>21953993.84</x:v>
      </x:c>
      <x:c r="I214" s="9" t="n">
        <x:v>22500480.398083452</x:v>
      </x:c>
      <x:c r="J214" s="8" t="n">
        <x:v>1.9306699666666665</x:v>
      </x:c>
      <x:c r="K214" s="8" t="n">
        <x:v>5.74607974323931</x:v>
      </x:c>
      <x:c r="L214" s="8" t="n">
        <x:v>55.3</x:v>
      </x:c>
      <x:c r="M214" s="3" t="str">
        <x:v>Pulled from master workbook</x:v>
      </x:c>
    </x:row>
    <x:row r="215">
      <x:c r="A215" s="7" t="n">
        <x:v>43009</x:v>
      </x:c>
      <x:c r="B215" s="8" t="n">
        <x:v>31.900964840801148</x:v>
      </x:c>
      <x:c r="C215" s="8"/>
      <x:c r="D215" s="8"/>
      <x:c r="E215" s="8" t="n">
        <x:v>14</x:v>
      </x:c>
      <x:c r="F215" s="8" t="n">
        <x:v>362.2142857142857</x:v>
      </x:c>
      <x:c r="G215" s="8" t="n">
        <x:v>58.46</x:v>
      </x:c>
      <x:c r="H215" s="9" t="n">
        <x:v>22500618.01</x:v>
      </x:c>
      <x:c r="I215" s="9" t="n">
        <x:v>22448085.73717153</x:v>
      </x:c>
      <x:c r="J215" s="8" t="n">
        <x:v>1.9464806451612904</x:v>
      </x:c>
      <x:c r="K215" s="8" t="n">
        <x:v>4.5554339201887</x:v>
      </x:c>
      <x:c r="L215" s="8" t="n">
        <x:v>55</x:v>
      </x:c>
      <x:c r="M215" s="3" t="str">
        <x:v>Pulled from master workbook</x:v>
      </x:c>
    </x:row>
    <x:row r="216">
      <x:c r="A216" s="7" t="n">
        <x:v>43040</x:v>
      </x:c>
      <x:c r="B216" s="8" t="n">
        <x:v>32.15031824083224</x:v>
      </x:c>
      <x:c r="C216" s="8"/>
      <x:c r="D216" s="8"/>
      <x:c r="E216" s="8" t="n">
        <x:v>14</x:v>
      </x:c>
      <x:c r="F216" s="8" t="n">
        <x:v>362.40909090909093</x:v>
      </x:c>
      <x:c r="G216" s="8" t="n">
        <x:v>63.56</x:v>
      </x:c>
      <x:c r="H216" s="9" t="n">
        <x:v>22311118.02</x:v>
      </x:c>
      <x:c r="I216" s="9" t="n">
        <x:v>22318599.40545731</x:v>
      </x:c>
      <x:c r="J216" s="8" t="n">
        <x:v>1.9584775333333335</x:v>
      </x:c>
      <x:c r="K216" s="8" t="n">
        <x:v>5.62147149350224</x:v>
      </x:c>
      <x:c r="L216" s="8" t="n">
        <x:v>55.9</x:v>
      </x:c>
      <x:c r="M216" s="3" t="str">
        <x:v>Pulled from master workbook</x:v>
      </x:c>
    </x:row>
    <x:row r="217">
      <x:c r="A217" s="7" t="n">
        <x:v>43070</x:v>
      </x:c>
      <x:c r="B217" s="8" t="n">
        <x:v>32.34105584642556</x:v>
      </x:c>
      <x:c r="C217" s="8"/>
      <x:c r="D217" s="8"/>
      <x:c r="E217" s="8" t="n">
        <x:v>14</x:v>
      </x:c>
      <x:c r="F217" s="8" t="n">
        <x:v>362.8333333333333</x:v>
      </x:c>
      <x:c r="G217" s="8" t="n">
        <x:v>65.11</x:v>
      </x:c>
      <x:c r="H217" s="9" t="n">
        <x:v>24140634.21</x:v>
      </x:c>
      <x:c r="I217" s="9" t="n">
        <x:v>22243193.530935735</x:v>
      </x:c>
      <x:c r="J217" s="8" t="n">
        <x:v>1.9568963548387095</x:v>
      </x:c>
      <x:c r="K217" s="8" t="n">
        <x:v>10.036610203802</x:v>
      </x:c>
      <x:c r="L217" s="8" t="n">
        <x:v>59.3</x:v>
      </x:c>
      <x:c r="M217" s="3" t="str">
        <x:v>Pulled from master workbook</x:v>
      </x:c>
    </x:row>
    <x:row r="218">
      <x:c r="A218" s="7" t="n">
        <x:v>43101</x:v>
      </x:c>
      <x:c r="B218" s="8" t="n">
        <x:v>32.59949050207904</x:v>
      </x:c>
      <x:c r="C218" s="8"/>
      <x:c r="D218" s="8"/>
      <x:c r="E218" s="8" t="n">
        <x:v>14</x:v>
      </x:c>
      <x:c r="F218" s="8" t="n">
        <x:v>363.20454545454544</x:v>
      </x:c>
      <x:c r="G218" s="8" t="n">
        <x:v>69.68</x:v>
      </x:c>
      <x:c r="H218" s="9" t="n">
        <x:v>23963031.48</x:v>
      </x:c>
      <x:c r="I218" s="9" t="n">
        <x:v>21977304.816221625</x:v>
      </x:c>
      <x:c r="J218" s="8" t="n">
        <x:v>1.996933</x:v>
      </x:c>
      <x:c r="K218" s="8" t="n">
        <x:v>9.38171724949761</x:v>
      </x:c>
      <x:c r="L218" s="8" t="n">
        <x:v>57.3</x:v>
      </x:c>
      <x:c r="M218" s="3" t="str">
        <x:v>Pulled from master workbook</x:v>
      </x:c>
    </x:row>
    <x:row r="219">
      <x:c r="A219" s="7" t="n">
        <x:v>43132</x:v>
      </x:c>
      <x:c r="B219" s="8" t="n">
        <x:v>32.857628516388196</x:v>
      </x:c>
      <x:c r="C219" s="8"/>
      <x:c r="D219" s="8"/>
      <x:c r="E219" s="8" t="n">
        <x:v>14</x:v>
      </x:c>
      <x:c r="F219" s="8" t="n">
        <x:v>362.475</x:v>
      </x:c>
      <x:c r="G219" s="8" t="n">
        <x:v>66.67</x:v>
      </x:c>
      <x:c r="H219" s="9" t="n">
        <x:v>24143010.28</x:v>
      </x:c>
      <x:c r="I219" s="9" t="n">
        <x:v>22521872.75080493</x:v>
      </x:c>
      <x:c r="J219" s="8" t="n">
        <x:v>2.008635</x:v>
      </x:c>
      <x:c r="K219" s="8" t="n">
        <x:v>6.37860307508175</x:v>
      </x:c>
      <x:c r="L219" s="8" t="n">
        <x:v>56.3</x:v>
      </x:c>
      <x:c r="M219" s="3" t="str">
        <x:v>Pulled from master workbook</x:v>
      </x:c>
    </x:row>
    <x:row r="220">
      <x:c r="A220" s="7" t="n">
        <x:v>43160</x:v>
      </x:c>
      <x:c r="B220" s="8" t="n">
        <x:v>33.13236985147965</x:v>
      </x:c>
      <x:c r="C220" s="8"/>
      <x:c r="D220" s="8"/>
      <x:c r="E220" s="8" t="n">
        <x:v>14</x:v>
      </x:c>
      <x:c r="F220" s="8" t="n">
        <x:v>362.07142857142856</x:v>
      </x:c>
      <x:c r="G220" s="8" t="n">
        <x:v>66.94</x:v>
      </x:c>
      <x:c r="H220" s="9" t="n">
        <x:v>24424422.14</x:v>
      </x:c>
      <x:c r="I220" s="9" t="n">
        <x:v>22279793.182901934</x:v>
      </x:c>
      <x:c r="J220" s="8" t="n">
        <x:v>1.945341</x:v>
      </x:c>
      <x:c r="K220" s="8" t="n">
        <x:v>4.00774485712683</x:v>
      </x:c>
      <x:c r="L220" s="8" t="n">
        <x:v>56.7</x:v>
      </x:c>
      <x:c r="M220" s="3" t="str">
        <x:v>Pulled from master workbook</x:v>
      </x:c>
    </x:row>
    <x:row r="221">
      <x:c r="A221" s="7" t="n">
        <x:v>43191</x:v>
      </x:c>
      <x:c r="B221" s="8" t="n">
        <x:v>33.40887443185126</x:v>
      </x:c>
      <x:c r="C221" s="8"/>
      <x:c r="D221" s="8"/>
      <x:c r="E221" s="8" t="n">
        <x:v>14</x:v>
      </x:c>
      <x:c r="F221" s="8" t="n">
        <x:v>362.25</x:v>
      </x:c>
      <x:c r="G221" s="8" t="n">
        <x:v>72.37</x:v>
      </x:c>
      <x:c r="H221" s="9" t="n">
        <x:v>24474153.99</x:v>
      </x:c>
      <x:c r="I221" s="9" t="n">
        <x:v>22095268.19554655</x:v>
      </x:c>
      <x:c r="J221" s="8" t="n">
        <x:v>1.965183</x:v>
      </x:c>
      <x:c r="K221" s="8" t="n">
        <x:v>3.71258642293959</x:v>
      </x:c>
      <x:c r="L221" s="8" t="n">
        <x:v>56.9</x:v>
      </x:c>
      <x:c r="M221" s="3" t="str">
        <x:v>Pulled from master workbook</x:v>
      </x:c>
    </x:row>
    <x:row r="222">
      <x:c r="A222" s="7" t="n">
        <x:v>43221</x:v>
      </x:c>
      <x:c r="B222" s="8" t="n">
        <x:v>33.77278757568476</x:v>
      </x:c>
      <x:c r="C222" s="8"/>
      <x:c r="D222" s="8"/>
      <x:c r="E222" s="8" t="n">
        <x:v>14</x:v>
      </x:c>
      <x:c r="F222" s="8" t="n">
        <x:v>362.85714285714283</x:v>
      </x:c>
      <x:c r="G222" s="8" t="n">
        <x:v>77.7</x:v>
      </x:c>
      <x:c r="H222" s="9" t="n">
        <x:v>25169014.19</x:v>
      </x:c>
      <x:c r="I222" s="9" t="n">
        <x:v>22130504.770155773</x:v>
      </x:c>
      <x:c r="J222" s="8" t="n">
        <x:v>1.778832</x:v>
      </x:c>
      <x:c r="K222" s="8" t="n">
        <x:v>3.98198130742353</x:v>
      </x:c>
      <x:c r="L222" s="8" t="n">
        <x:v>56.5</x:v>
      </x:c>
      <x:c r="M222" s="3" t="str">
        <x:v>Pulled from master workbook</x:v>
      </x:c>
    </x:row>
    <x:row r="223">
      <x:c r="A223" s="7" t="n">
        <x:v>43252</x:v>
      </x:c>
      <x:c r="B223" s="8" t="n">
        <x:v>34.19062695694433</x:v>
      </x:c>
      <x:c r="C223" s="8"/>
      <x:c r="D223" s="8"/>
      <x:c r="E223" s="8" t="n">
        <x:v>14</x:v>
      </x:c>
      <x:c r="F223" s="8" t="n">
        <x:v>360.6578947368421</x:v>
      </x:c>
      <x:c r="G223" s="8" t="n">
        <x:v>75.38</x:v>
      </x:c>
      <x:c r="H223" s="9" t="n">
        <x:v>24814004.52</x:v>
      </x:c>
      <x:c r="I223" s="9" t="n">
        <x:v>22230901.656427294</x:v>
      </x:c>
      <x:c r="J223" s="8" t="n">
        <x:v>1.782737</x:v>
      </x:c>
      <x:c r="K223" s="8" t="n">
        <x:v>3.51265759555933</x:v>
      </x:c>
      <x:c r="L223" s="8" t="n">
        <x:v>57</x:v>
      </x:c>
      <x:c r="M223" s="3" t="str">
        <x:v>Pulled from master workbook</x:v>
      </x:c>
    </x:row>
    <x:row r="224">
      <x:c r="A224" s="7" t="n">
        <x:v>43282</x:v>
      </x:c>
      <x:c r="B224" s="8" t="n">
        <x:v>34.57772128316075</x:v>
      </x:c>
      <x:c r="C224" s="8"/>
      <x:c r="D224" s="8"/>
      <x:c r="E224" s="8" t="n">
        <x:v>14</x:v>
      </x:c>
      <x:c r="F224" s="8" t="n">
        <x:v>359.35714285714283</x:v>
      </x:c>
      <x:c r="G224" s="8" t="n">
        <x:v>74.72</x:v>
      </x:c>
      <x:c r="H224" s="9" t="n">
        <x:v>24971101.93</x:v>
      </x:c>
      <x:c r="I224" s="9" t="n">
        <x:v>22236441.585390486</x:v>
      </x:c>
      <x:c r="J224" s="8" t="n">
        <x:v>1.853081</x:v>
      </x:c>
      <x:c r="K224" s="8" t="n">
        <x:v>2.69087214686744</x:v>
      </x:c>
      <x:c r="L224" s="8" t="n">
        <x:v>56.8</x:v>
      </x:c>
      <x:c r="M224" s="3" t="str">
        <x:v>Pulled from master workbook</x:v>
      </x:c>
    </x:row>
    <x:row r="225">
      <x:c r="A225" s="7" t="n">
        <x:v>43313</x:v>
      </x:c>
      <x:c r="B225" s="8" t="n">
        <x:v>34.94012086944741</x:v>
      </x:c>
      <x:c r="C225" s="8"/>
      <x:c r="D225" s="8"/>
      <x:c r="E225" s="8" t="n">
        <x:v>14</x:v>
      </x:c>
      <x:c r="F225" s="8" t="n">
        <x:v>359</x:v>
      </x:c>
      <x:c r="G225" s="8" t="n">
        <x:v>73.35</x:v>
      </x:c>
      <x:c r="H225" s="9" t="n">
        <x:v>24859346.47</x:v>
      </x:c>
      <x:c r="I225" s="9" t="n">
        <x:v>22490992.005470432</x:v>
      </x:c>
      <x:c r="J225" s="8" t="n">
        <x:v>1.996798</x:v>
      </x:c>
      <x:c r="K225" s="8" t="n">
        <x:v>2.92228348772005</x:v>
      </x:c>
      <x:c r="L225" s="8" t="n">
        <x:v>57.1</x:v>
      </x:c>
      <x:c r="M225" s="3" t="str">
        <x:v>Pulled from master workbook</x:v>
      </x:c>
    </x:row>
    <x:row r="226">
      <x:c r="A226" s="7" t="n">
        <x:v>43344</x:v>
      </x:c>
      <x:c r="B226" s="8" t="n">
        <x:v>35.232316586836205</x:v>
      </x:c>
      <x:c r="C226" s="8"/>
      <x:c r="D226" s="8"/>
      <x:c r="E226" s="8" t="n">
        <x:v>14</x:v>
      </x:c>
      <x:c r="F226" s="8" t="n">
        <x:v>359.25</x:v>
      </x:c>
      <x:c r="G226" s="8" t="n">
        <x:v>79.59</x:v>
      </x:c>
      <x:c r="H226" s="9" t="n">
        <x:v>25560662.33</x:v>
      </x:c>
      <x:c r="I226" s="9" t="n">
        <x:v>22978284.59434399</x:v>
      </x:c>
      <x:c r="J226" s="8" t="n">
        <x:v>1.957254</x:v>
      </x:c>
      <x:c r="K226" s="8" t="n">
        <x:v>3.49997730961744</x:v>
      </x:c>
      <x:c r="L226" s="8" t="n">
        <x:v>56.2</x:v>
      </x:c>
      <x:c r="M226" s="3" t="str">
        <x:v>Pulled from master workbook</x:v>
      </x:c>
    </x:row>
    <x:row r="227">
      <x:c r="A227" s="7" t="n">
        <x:v>43374</x:v>
      </x:c>
      <x:c r="B227" s="8" t="n">
        <x:v>35.49279231249249</x:v>
      </x:c>
      <x:c r="C227" s="8"/>
      <x:c r="D227" s="8"/>
      <x:c r="E227" s="8" t="n">
        <x:v>14</x:v>
      </x:c>
      <x:c r="F227" s="8" t="n">
        <x:v>360.8125</x:v>
      </x:c>
      <x:c r="G227" s="8" t="n">
        <x:v>79.18</x:v>
      </x:c>
      <x:c r="H227" s="9" t="n">
        <x:v>26041903.87</x:v>
      </x:c>
      <x:c r="I227" s="9" t="n">
        <x:v>23627573.492701754</x:v>
      </x:c>
      <x:c r="J227" s="8" t="n">
        <x:v>2.008718</x:v>
      </x:c>
      <x:c r="K227" s="8" t="n">
        <x:v>4.06943882653543</x:v>
      </x:c>
      <x:c r="L227" s="8" t="n">
        <x:v>56.8</x:v>
      </x:c>
      <x:c r="M227" s="3" t="str">
        <x:v>Pulled from master workbook</x:v>
      </x:c>
    </x:row>
    <x:row r="228">
      <x:c r="A228" s="7" t="n">
        <x:v>43405</x:v>
      </x:c>
      <x:c r="B228" s="8" t="n">
        <x:v>35.77709515048152</x:v>
      </x:c>
      <x:c r="C228" s="8"/>
      <x:c r="D228" s="8"/>
      <x:c r="E228" s="8" t="n">
        <x:v>14</x:v>
      </x:c>
      <x:c r="F228" s="8" t="n">
        <x:v>362.82142857142856</x:v>
      </x:c>
      <x:c r="G228" s="8" t="n">
        <x:v>66.59</x:v>
      </x:c>
      <x:c r="H228" s="9" t="n">
        <x:v>25467425.55</x:v>
      </x:c>
      <x:c r="I228" s="9" t="n">
        <x:v>23650713.811005764</x:v>
      </x:c>
      <x:c r="J228" s="8" t="n">
        <x:v>1.803244</x:v>
      </x:c>
      <x:c r="K228" s="8" t="n">
        <x:v>4.81942687451949</x:v>
      </x:c>
      <x:c r="L228" s="8" t="n">
        <x:v>57.9</x:v>
      </x:c>
      <x:c r="M228" s="3" t="str">
        <x:v>Pulled from master workbook</x:v>
      </x:c>
    </x:row>
    <x:row r="229">
      <x:c r="A229" s="7" t="n">
        <x:v>43435</x:v>
      </x:c>
      <x:c r="B229" s="8" t="n">
        <x:v>36.04145258877566</x:v>
      </x:c>
      <x:c r="C229" s="8"/>
      <x:c r="D229" s="8"/>
      <x:c r="E229" s="8" t="n">
        <x:v>14</x:v>
      </x:c>
      <x:c r="F229" s="8" t="n">
        <x:v>363.4605263157895</x:v>
      </x:c>
      <x:c r="G229" s="8" t="n">
        <x:v>62.02</x:v>
      </x:c>
      <x:c r="H229" s="9" t="n">
        <x:v>27068575.06</x:v>
      </x:c>
      <x:c r="I229" s="9" t="n">
        <x:v>23536259.268236376</x:v>
      </x:c>
      <x:c r="J229" s="8" t="n">
        <x:v>1.904811</x:v>
      </x:c>
      <x:c r="K229" s="8" t="n">
        <x:v>5.42527528416305</x:v>
      </x:c>
      <x:c r="L229" s="8" t="n">
        <x:v>61.1</x:v>
      </x:c>
      <x:c r="M229" s="3" t="str">
        <x:v>Pulled from master workbook</x:v>
      </x:c>
    </x:row>
    <x:row r="230">
      <x:c r="A230" s="7" t="n">
        <x:v>43466</x:v>
      </x:c>
      <x:c r="B230" s="8" t="n">
        <x:v>36.30738371625207</x:v>
      </x:c>
      <x:c r="C230" s="8"/>
      <x:c r="D230" s="8"/>
      <x:c r="E230" s="8" t="n">
        <x:v>14</x:v>
      </x:c>
      <x:c r="F230" s="8" t="n">
        <x:v>360.9431818181818</x:v>
      </x:c>
      <x:c r="G230" s="8" t="n">
        <x:v>60.05</x:v>
      </x:c>
      <x:c r="H230" s="9" t="n">
        <x:v>26771087.05</x:v>
      </x:c>
      <x:c r="I230" s="9" t="n">
        <x:v>25009316.44672921</x:v>
      </x:c>
      <x:c r="J230" s="8" t="n">
        <x:v>1.910499</x:v>
      </x:c>
      <x:c r="K230" s="8" t="n">
        <x:v>4.61662616405854</x:v>
      </x:c>
      <x:c r="L230" s="8" t="n">
        <x:v>58.5</x:v>
      </x:c>
      <x:c r="M230" s="3" t="str">
        <x:v>Pulled from master workbook</x:v>
      </x:c>
    </x:row>
    <x:row r="231">
      <x:c r="A231" s="7" t="n">
        <x:v>43497</x:v>
      </x:c>
      <x:c r="B231" s="8" t="n">
        <x:v>36.5724636654981</x:v>
      </x:c>
      <x:c r="C231" s="8"/>
      <x:c r="D231" s="8"/>
      <x:c r="E231" s="8" t="n">
        <x:v>14</x:v>
      </x:c>
      <x:c r="F231" s="8" t="n">
        <x:v>359.7613636363636</x:v>
      </x:c>
      <x:c r="G231" s="8" t="n">
        <x:v>64.89</x:v>
      </x:c>
      <x:c r="H231" s="9" t="n">
        <x:v>26546639.71</x:v>
      </x:c>
      <x:c r="I231" s="9" t="n">
        <x:v>25701069.99125871</x:v>
      </x:c>
      <x:c r="J231" s="8" t="n">
        <x:v>1.979707</x:v>
      </x:c>
      <x:c r="K231" s="8" t="n">
        <x:v>3.58555114867778</x:v>
      </x:c>
      <x:c r="L231" s="8" t="n">
        <x:v>57.1</x:v>
      </x:c>
      <x:c r="M231" s="3" t="str">
        <x:v>Pulled from master workbook</x:v>
      </x:c>
    </x:row>
    <x:row r="232">
      <x:c r="A232" s="7" t="n">
        <x:v>43525</x:v>
      </x:c>
      <x:c r="B232" s="8" t="n">
        <x:v>36.860142339465696</x:v>
      </x:c>
      <x:c r="C232" s="8"/>
      <x:c r="D232" s="8"/>
      <x:c r="E232" s="8" t="n">
        <x:v>13.5</x:v>
      </x:c>
      <x:c r="F232" s="8" t="n">
        <x:v>359.23809523809524</x:v>
      </x:c>
      <x:c r="G232" s="8" t="n">
        <x:v>67.67</x:v>
      </x:c>
      <x:c r="H232" s="9" t="n">
        <x:v>26834815.12</x:v>
      </x:c>
      <x:c r="I232" s="9" t="n">
        <x:v>25707786.059631422</x:v>
      </x:c>
      <x:c r="J232" s="8" t="n">
        <x:v>2.021452</x:v>
      </x:c>
      <x:c r="K232" s="8" t="n">
        <x:v>3.03021974790374</x:v>
      </x:c>
      <x:c r="L232" s="8" t="n">
        <x:v>57.4</x:v>
      </x:c>
      <x:c r="M232" s="3" t="str">
        <x:v>Pulled from master workbook</x:v>
      </x:c>
    </x:row>
    <x:row r="233">
      <x:c r="A233" s="7" t="n">
        <x:v>43556</x:v>
      </x:c>
      <x:c r="B233" s="8" t="n">
        <x:v>37.20815436327452</x:v>
      </x:c>
      <x:c r="C233" s="8"/>
      <x:c r="D233" s="8"/>
      <x:c r="E233" s="8" t="n">
        <x:v>13.5</x:v>
      </x:c>
      <x:c r="F233" s="8" t="n">
        <x:v>359</x:v>
      </x:c>
      <x:c r="G233" s="8" t="n">
        <x:v>73.08</x:v>
      </x:c>
      <x:c r="H233" s="9" t="n">
        <x:v>27579445.15</x:v>
      </x:c>
      <x:c r="I233" s="9" t="n">
        <x:v>25650350.87444047</x:v>
      </x:c>
      <x:c r="J233" s="8" t="n">
        <x:v>2.000853</x:v>
      </x:c>
      <x:c r="K233" s="8" t="n">
        <x:v>4.40684276464262</x:v>
      </x:c>
      <x:c r="L233" s="8" t="n">
        <x:v>57.7</x:v>
      </x:c>
      <x:c r="M233" s="3" t="str">
        <x:v>Pulled from master workbook</x:v>
      </x:c>
    </x:row>
    <x:row r="234">
      <x:c r="A234" s="7" t="n">
        <x:v>43586</x:v>
      </x:c>
      <x:c r="B234" s="8" t="n">
        <x:v>37.62167115088223</x:v>
      </x:c>
      <x:c r="C234" s="8"/>
      <x:c r="D234" s="8"/>
      <x:c r="E234" s="8" t="n">
        <x:v>13.5</x:v>
      </x:c>
      <x:c r="F234" s="8" t="n">
        <x:v>359.75</x:v>
      </x:c>
      <x:c r="G234" s="8" t="n">
        <x:v>73.65</x:v>
      </x:c>
      <x:c r="H234" s="9" t="n">
        <x:v>27813701.61</x:v>
      </x:c>
      <x:c r="I234" s="9" t="n">
        <x:v>25782842.87788263</x:v>
      </x:c>
      <x:c r="J234" s="8" t="n">
        <x:v>1.93061</x:v>
      </x:c>
      <x:c r="K234" s="8" t="n">
        <x:v>4.01663608414509</x:v>
      </x:c>
      <x:c r="L234" s="8" t="n">
        <x:v>57.8</x:v>
      </x:c>
      <x:c r="M234" s="3" t="str">
        <x:v>Pulled from master workbook</x:v>
      </x:c>
    </x:row>
    <x:row r="235">
      <x:c r="A235" s="7" t="n">
        <x:v>43617</x:v>
      </x:c>
      <x:c r="B235" s="8" t="n">
        <x:v>38.025897589483904</x:v>
      </x:c>
      <x:c r="C235" s="8"/>
      <x:c r="D235" s="8"/>
      <x:c r="E235" s="8" t="n">
        <x:v>13.5</x:v>
      </x:c>
      <x:c r="F235" s="8" t="n">
        <x:v>359.94117647058823</x:v>
      </x:c>
      <x:c r="G235" s="8" t="n">
        <x:v>66.74</x:v>
      </x:c>
      <x:c r="H235" s="9" t="n">
        <x:v>27898828.27</x:v>
      </x:c>
      <x:c r="I235" s="9" t="n">
        <x:v>24786950.333321236</x:v>
      </x:c>
      <x:c r="J235" s="8" t="n">
        <x:v>2.117546</x:v>
      </x:c>
      <x:c r="K235" s="8" t="n">
        <x:v>3.3375120884887</x:v>
      </x:c>
      <x:c r="L235" s="8" t="n">
        <x:v>57.4</x:v>
      </x:c>
      <x:c r="M235" s="3" t="str">
        <x:v>Pulled from master workbook</x:v>
      </x:c>
    </x:row>
    <x:row r="236">
      <x:c r="A236" s="7" t="n">
        <x:v>43647</x:v>
      </x:c>
      <x:c r="B236" s="8" t="n">
        <x:v>38.410473938655194</x:v>
      </x:c>
      <x:c r="C236" s="8"/>
      <x:c r="D236" s="8"/>
      <x:c r="E236" s="8" t="n">
        <x:v>13.5</x:v>
      </x:c>
      <x:c r="F236" s="8" t="n">
        <x:v>359.4347826086956</x:v>
      </x:c>
      <x:c r="G236" s="8" t="n">
        <x:v>66.24</x:v>
      </x:c>
      <x:c r="H236" s="9" t="n">
        <x:v>28277141.77</x:v>
      </x:c>
      <x:c r="I236" s="9" t="n">
        <x:v>25246475.41834782</x:v>
      </x:c>
      <x:c r="J236" s="8" t="n">
        <x:v>2.115603</x:v>
      </x:c>
      <x:c r="K236" s="8" t="n">
        <x:v>3.05735319073268</x:v>
      </x:c>
      <x:c r="L236" s="8" t="n">
        <x:v>57.6</x:v>
      </x:c>
      <x:c r="M236" s="3" t="str">
        <x:v>Pulled from master workbook</x:v>
      </x:c>
    </x:row>
    <x:row r="237">
      <x:c r="A237" s="7" t="n">
        <x:v>43678</x:v>
      </x:c>
      <x:c r="B237" s="8" t="n">
        <x:v>38.78909293269951</x:v>
      </x:c>
      <x:c r="C237" s="8"/>
      <x:c r="D237" s="8"/>
      <x:c r="E237" s="8" t="n">
        <x:v>13.5</x:v>
      </x:c>
      <x:c r="F237" s="8" t="n">
        <x:v>359</x:v>
      </x:c>
      <x:c r="G237" s="8" t="n">
        <x:v>61.05</x:v>
      </x:c>
      <x:c r="H237" s="9" t="n">
        <x:v>27556798.88</x:v>
      </x:c>
      <x:c r="I237" s="9" t="n">
        <x:v>25288294.455031507</x:v>
      </x:c>
      <x:c r="J237" s="8" t="n">
        <x:v>2.084258</x:v>
      </x:c>
      <x:c r="K237" s="8" t="n">
        <x:v>3.12564590764573</x:v>
      </x:c>
      <x:c r="L237" s="8" t="n">
        <x:v>57.9</x:v>
      </x:c>
      <x:c r="M237" s="3" t="str">
        <x:v>Pulled from master workbook</x:v>
      </x:c>
    </x:row>
    <x:row r="238">
      <x:c r="A238" s="7" t="n">
        <x:v>43709</x:v>
      </x:c>
      <x:c r="B238" s="8" t="n">
        <x:v>39.19375186623379</x:v>
      </x:c>
      <x:c r="C238" s="8"/>
      <x:c r="D238" s="8"/>
      <x:c r="E238" s="8" t="n">
        <x:v>13.5</x:v>
      </x:c>
      <x:c r="F238" s="8" t="n">
        <x:v>359</x:v>
      </x:c>
      <x:c r="G238" s="8" t="n">
        <x:v>65.27</x:v>
      </x:c>
      <x:c r="H238" s="9" t="n">
        <x:v>27669957.17</x:v>
      </x:c>
      <x:c r="I238" s="9" t="n">
        <x:v>25758782.02207046</x:v>
      </x:c>
      <x:c r="J238" s="8" t="n">
        <x:v>2.063287</x:v>
      </x:c>
      <x:c r="K238" s="8" t="n">
        <x:v>3.21465439311204</x:v>
      </x:c>
      <x:c r="L238" s="8" t="n">
        <x:v>57.7</x:v>
      </x:c>
      <x:c r="M238" s="3" t="str">
        <x:v>Pulled from master workbook</x:v>
      </x:c>
    </x:row>
    <x:row r="239">
      <x:c r="A239" s="7" t="n">
        <x:v>43739</x:v>
      </x:c>
      <x:c r="B239" s="8" t="n">
        <x:v>39.612434115859664</x:v>
      </x:c>
      <x:c r="C239" s="8"/>
      <x:c r="D239" s="8"/>
      <x:c r="E239" s="8" t="n">
        <x:v>13.5</x:v>
      </x:c>
      <x:c r="F239" s="8" t="n">
        <x:v>359</x:v>
      </x:c>
      <x:c r="G239" s="8" t="n">
        <x:v>59.1</x:v>
      </x:c>
      <x:c r="H239" s="9" t="n">
        <x:v>27811790.84</x:v>
      </x:c>
      <x:c r="I239" s="9" t="n">
        <x:v>26113965.4351506</x:v>
      </x:c>
      <x:c r="J239" s="8" t="n">
        <x:v>2.044333</x:v>
      </x:c>
      <x:c r="K239" s="8" t="n">
        <x:v>4.23886611775258</x:v>
      </x:c>
      <x:c r="L239" s="8" t="n">
        <x:v>58.2</x:v>
      </x:c>
      <x:c r="M239" s="3" t="str">
        <x:v>Pulled from master workbook</x:v>
      </x:c>
    </x:row>
    <x:row r="240">
      <x:c r="A240" s="7" t="n">
        <x:v>43770</x:v>
      </x:c>
      <x:c r="B240" s="8" t="n">
        <x:v>40.017939479136174</x:v>
      </x:c>
      <x:c r="C240" s="8"/>
      <x:c r="D240" s="8"/>
      <x:c r="E240" s="8" t="n">
        <x:v>13.5</x:v>
      </x:c>
      <x:c r="F240" s="8" t="n">
        <x:v>359</x:v>
      </x:c>
      <x:c r="G240" s="8" t="n">
        <x:v>63.563374999999986</x:v>
      </x:c>
      <x:c r="H240" s="9" t="n">
        <x:v>28415371.99</x:v>
      </x:c>
      <x:c r="I240" s="9" t="n">
        <x:v>26459881.66750661</x:v>
      </x:c>
      <x:c r="J240" s="8" t="n">
        <x:v>1.94165</x:v>
      </x:c>
      <x:c r="K240" s="8" t="n">
        <x:v>3.09120635532674</x:v>
      </x:c>
      <x:c r="L240" s="8" t="n">
        <x:v>59.3</x:v>
      </x:c>
      <x:c r="M240" s="3" t="str">
        <x:v>Pulled from master workbook</x:v>
      </x:c>
    </x:row>
    <x:row r="241">
      <x:c r="A241" s="7" t="n">
        <x:v>43800</x:v>
      </x:c>
      <x:c r="B241" s="8" t="n">
        <x:v>40.35978420252577</x:v>
      </x:c>
      <x:c r="C241" s="8"/>
      <x:c r="D241" s="8"/>
      <x:c r="E241" s="8" t="n">
        <x:v>13.5</x:v>
      </x:c>
      <x:c r="F241" s="8" t="n">
        <x:v>360.25</x:v>
      </x:c>
      <x:c r="G241" s="8" t="n">
        <x:v>68.56152777777778</x:v>
      </x:c>
      <x:c r="H241" s="9" t="n">
        <x:v>28783194.45</x:v>
      </x:c>
      <x:c r="I241" s="9" t="n">
        <x:v>26616743.817500338</x:v>
      </x:c>
      <x:c r="J241" s="8" t="n">
        <x:v>1.96138</x:v>
      </x:c>
      <x:c r="K241" s="8" t="n">
        <x:v>3.89226624210903</x:v>
      </x:c>
      <x:c r="L241" s="8" t="n">
        <x:v>60.8</x:v>
      </x:c>
      <x:c r="M241" s="3" t="str">
        <x:v>Pulled from master workbook</x:v>
      </x:c>
    </x:row>
    <x:row r="242">
      <x:c r="A242" s="7" t="n">
        <x:v>43831</x:v>
      </x:c>
      <x:c r="B242" s="8" t="n">
        <x:v>40.712306526314926</x:v>
      </x:c>
      <x:c r="C242" s="8" t="n">
        <x:v>274.63</x:v>
      </x:c>
      <x:c r="D242" s="8" t="n">
        <x:v>343.23</x:v>
      </x:c>
      <x:c r="E242" s="8" t="n">
        <x:v>13.5</x:v>
      </x:c>
      <x:c r="F242" s="8" t="n">
        <x:v>361</x:v>
      </x:c>
      <x:c r="G242" s="8" t="n">
        <x:v>66.6878260869565</x:v>
      </x:c>
      <x:c r="H242" s="9" t="n">
        <x:v>29119636.25</x:v>
      </x:c>
      <x:c r="I242" s="9" t="n">
        <x:v>26651990.107536722</x:v>
      </x:c>
      <x:c r="J242" s="8" t="n">
        <x:v>2.072916</x:v>
      </x:c>
      <x:c r="K242" s="8" t="n">
        <x:v>4.05597057360102</x:v>
      </x:c>
      <x:c r="L242" s="8" t="n">
        <x:v>59.2</x:v>
      </x:c>
      <x:c r="M242" s="3" t="str">
        <x:v>Pulled from master workbook</x:v>
      </x:c>
    </x:row>
    <x:row r="243">
      <x:c r="A243" s="7" t="n">
        <x:v>43862</x:v>
      </x:c>
      <x:c r="B243" s="8" t="n">
        <x:v>41.033767891674415</x:v>
      </x:c>
      <x:c r="C243" s="8" t="n">
        <x:v>276.9</x:v>
      </x:c>
      <x:c r="D243" s="8" t="n">
        <x:v>346.2</x:v>
      </x:c>
      <x:c r="E243" s="8" t="n">
        <x:v>13.5</x:v>
      </x:c>
      <x:c r="F243" s="8" t="n">
        <x:v>359</x:v>
      </x:c>
      <x:c r="G243" s="8" t="n">
        <x:v>58.458499999999994</x:v>
      </x:c>
      <x:c r="H243" s="9" t="n">
        <x:v>29712157.57</x:v>
      </x:c>
      <x:c r="I243" s="9" t="n">
        <x:v>26780120.390565015</x:v>
      </x:c>
      <x:c r="J243" s="8" t="n">
        <x:v>2.069678</x:v>
      </x:c>
      <x:c r="K243" s="8" t="n">
        <x:v>3.43022435839269</x:v>
      </x:c>
      <x:c r="L243" s="8" t="n">
        <x:v>58.3</x:v>
      </x:c>
      <x:c r="M243" s="3" t="str">
        <x:v>Pulled from master workbook</x:v>
      </x:c>
    </x:row>
    <x:row r="244">
      <x:c r="A244" s="7" t="n">
        <x:v>43891</x:v>
      </x:c>
      <x:c r="B244" s="8" t="n">
        <x:v>41.378209709410115</x:v>
      </x:c>
      <x:c r="C244" s="8" t="n">
        <x:v>279.14</x:v>
      </x:c>
      <x:c r="D244" s="8" t="n">
        <x:v>349.46</x:v>
      </x:c>
      <x:c r="E244" s="8" t="n">
        <x:v>13.5</x:v>
      </x:c>
      <x:c r="F244" s="8" t="n">
        <x:v>376.8863636363636</x:v>
      </x:c>
      <x:c r="G244" s="8" t="n">
        <x:v>32.28727272727272</x:v>
      </x:c>
      <x:c r="H244" s="9" t="n">
        <x:v>30892554.71</x:v>
      </x:c>
      <x:c r="I244" s="9" t="n">
        <x:v>28422913.43000514</x:v>
      </x:c>
      <x:c r="J244" s="8" t="n">
        <x:v>2.038399</x:v>
      </x:c>
      <x:c r="K244" s="8" t="n">
        <x:v>5.30529381400696</x:v>
      </x:c>
      <x:c r="L244" s="8" t="n">
        <x:v>51.1</x:v>
      </x:c>
      <x:c r="M244" s="3" t="str">
        <x:v>Pulled from master workbook</x:v>
      </x:c>
    </x:row>
    <x:row r="245">
      <x:c r="A245" s="7" t="n">
        <x:v>43922</x:v>
      </x:c>
      <x:c r="B245" s="8" t="n">
        <x:v>41.800185683693954</x:v>
      </x:c>
      <x:c r="C245" s="8" t="n">
        <x:v>281.95</x:v>
      </x:c>
      <x:c r="D245" s="8" t="n">
        <x:v>353.59</x:v>
      </x:c>
      <x:c r="E245" s="8" t="n">
        <x:v>13.5</x:v>
      </x:c>
      <x:c r="F245" s="8" t="n">
        <x:v>420.15</x:v>
      </x:c>
      <x:c r="G245" s="8" t="n">
        <x:v>14.279499999999999</x:v>
      </x:c>
      <x:c r="H245" s="9" t="n">
        <x:v>31839424.53</x:v>
      </x:c>
      <x:c r="I245" s="9" t="n">
        <x:v>28893877.99082539</x:v>
      </x:c>
      <x:c r="J245" s="8" t="n">
        <x:v>2.036206</x:v>
      </x:c>
      <x:c r="K245" s="8" t="n">
        <x:v>5.94263619535159</x:v>
      </x:c>
      <x:c r="L245" s="8" t="n">
        <x:v>43.9</x:v>
      </x:c>
      <x:c r="M245" s="3" t="str">
        <x:v>Pulled from master workbook</x:v>
      </x:c>
    </x:row>
    <x:row r="246">
      <x:c r="A246" s="7" t="n">
        <x:v>43952</x:v>
      </x:c>
      <x:c r="B246" s="8" t="n">
        <x:v>42.28835683790697</x:v>
      </x:c>
      <x:c r="C246" s="8" t="n">
        <x:v>284.57</x:v>
      </x:c>
      <x:c r="D246" s="8" t="n">
        <x:v>358.6</x:v>
      </x:c>
      <x:c r="E246" s="8" t="n">
        <x:v>13.5</x:v>
      </x:c>
      <x:c r="F246" s="8" t="n">
        <x:v>443.8888888888889</x:v>
      </x:c>
      <x:c r="G246" s="8" t="n">
        <x:v>27.89368421052631</x:v>
      </x:c>
      <x:c r="H246" s="9" t="n">
        <x:v>32490532.24</x:v>
      </x:c>
      <x:c r="I246" s="9" t="n">
        <x:v>29349249.053816974</x:v>
      </x:c>
      <x:c r="J246" s="8" t="n">
        <x:v>1.749798</x:v>
      </x:c>
      <x:c r="K246" s="8" t="n">
        <x:v>4.7665391810196</x:v>
      </x:c>
      <x:c r="L246" s="8" t="n">
        <x:v>42.4</x:v>
      </x:c>
      <x:c r="M246" s="3" t="str">
        <x:v>Pulled from master workbook</x:v>
      </x:c>
    </x:row>
    <x:row r="247">
      <x:c r="A247" s="7" t="n">
        <x:v>43983</x:v>
      </x:c>
      <x:c r="B247" s="8" t="n">
        <x:v>42.80146347748822</x:v>
      </x:c>
      <x:c r="C247" s="8" t="n">
        <x:v>287.11</x:v>
      </x:c>
      <x:c r="D247" s="8" t="n">
        <x:v>363.93</x:v>
      </x:c>
      <x:c r="E247" s="8" t="n">
        <x:v>12.5</x:v>
      </x:c>
      <x:c r="F247" s="8" t="n">
        <x:v>447.7142857142857</x:v>
      </x:c>
      <x:c r="G247" s="8" t="n">
        <x:v>40.300909090909094</x:v>
      </x:c>
      <x:c r="H247" s="9" t="n">
        <x:v>32451402.29</x:v>
      </x:c>
      <x:c r="I247" s="9" t="n">
        <x:v>29555514.72754527</x:v>
      </x:c>
      <x:c r="J247" s="8" t="n">
        <x:v>1.687403</x:v>
      </x:c>
      <x:c r="K247" s="8" t="n">
        <x:v>4.69222174020597</x:v>
      </x:c>
      <x:c r="L247" s="8" t="n">
        <x:v>41.1</x:v>
      </x:c>
      <x:c r="M247" s="3" t="str">
        <x:v>Pulled from master workbook</x:v>
      </x:c>
    </x:row>
    <x:row r="248">
      <x:c r="A248" s="7" t="n">
        <x:v>44013</x:v>
      </x:c>
      <x:c r="B248" s="8" t="n">
        <x:v>43.334972297748735</x:v>
      </x:c>
      <x:c r="C248" s="8" t="n">
        <x:v>289.29</x:v>
      </x:c>
      <x:c r="D248" s="8" t="n">
        <x:v>369.47</x:v>
      </x:c>
      <x:c r="E248" s="8" t="n">
        <x:v>12.5</x:v>
      </x:c>
      <x:c r="F248" s="8" t="n">
        <x:v>464.7142857142857</x:v>
      </x:c>
      <x:c r="G248" s="8" t="n">
        <x:v>44.10434782608695</x:v>
      </x:c>
      <x:c r="H248" s="9" t="n">
        <x:v>33337326.82</x:v>
      </x:c>
      <x:c r="I248" s="9" t="n">
        <x:v>30188383.441609733</x:v>
      </x:c>
      <x:c r="J248" s="8" t="n">
        <x:v>1.653426</x:v>
      </x:c>
      <x:c r="K248" s="8" t="n">
        <x:v>6.58553189652443</x:v>
      </x:c>
      <x:c r="L248" s="8" t="n">
        <x:v>44.9</x:v>
      </x:c>
      <x:c r="M248" s="3" t="str">
        <x:v>Pulled from master workbook</x:v>
      </x:c>
    </x:row>
    <x:row r="249">
      <x:c r="A249" s="7" t="n">
        <x:v>44044</x:v>
      </x:c>
      <x:c r="B249" s="8" t="n">
        <x:v>43.916822318992416</x:v>
      </x:c>
      <x:c r="C249" s="8" t="n">
        <x:v>292.52</x:v>
      </x:c>
      <x:c r="D249" s="8" t="n">
        <x:v>375.66</x:v>
      </x:c>
      <x:c r="E249" s="8" t="n">
        <x:v>12.5</x:v>
      </x:c>
      <x:c r="F249" s="8" t="n">
        <x:v>473.4761904761905</x:v>
      </x:c>
      <x:c r="G249" s="8" t="n">
        <x:v>45.056000000000004</x:v>
      </x:c>
      <x:c r="H249" s="9" t="n">
        <x:v>34262588.49</x:v>
      </x:c>
      <x:c r="I249" s="9" t="n">
        <x:v>30382027.418804303</x:v>
      </x:c>
      <x:c r="J249" s="8" t="n">
        <x:v>1.649896</x:v>
      </x:c>
      <x:c r="K249" s="8" t="n">
        <x:v>4.63922511928932</x:v>
      </x:c>
      <x:c r="L249" s="8" t="n">
        <x:v>48.5</x:v>
      </x:c>
      <x:c r="M249" s="3" t="str">
        <x:v>Pulled from master workbook</x:v>
      </x:c>
    </x:row>
    <x:row r="250">
      <x:c r="A250" s="7" t="n">
        <x:v>44075</x:v>
      </x:c>
      <x:c r="B250" s="8" t="n">
        <x:v>44.56589410870819</x:v>
      </x:c>
      <x:c r="C250" s="8" t="n">
        <x:v>295.36</x:v>
      </x:c>
      <x:c r="D250" s="8" t="n">
        <x:v>382.72</x:v>
      </x:c>
      <x:c r="E250" s="8" t="n">
        <x:v>11.5</x:v>
      </x:c>
      <x:c r="F250" s="8" t="n">
        <x:v>453.6818181818182</x:v>
      </x:c>
      <x:c r="G250" s="8" t="n">
        <x:v>40.845454545454544</x:v>
      </x:c>
      <x:c r="H250" s="9" t="n">
        <x:v>34965447.66</x:v>
      </x:c>
      <x:c r="I250" s="9" t="n">
        <x:v>29745781.51153397</x:v>
      </x:c>
      <x:c r="J250" s="8" t="n">
        <x:v>1.594006</x:v>
      </x:c>
      <x:c r="K250" s="8" t="n">
        <x:v>8.13045035747753</x:v>
      </x:c>
      <x:c r="L250" s="8" t="n">
        <x:v>46.9</x:v>
      </x:c>
      <x:c r="M250" s="3" t="str">
        <x:v>Pulled from master workbook</x:v>
      </x:c>
    </x:row>
    <x:row r="251">
      <x:c r="A251" s="7" t="n">
        <x:v>44105</x:v>
      </x:c>
      <x:c r="B251" s="8" t="n">
        <x:v>45.25036995787375</x:v>
      </x:c>
      <x:c r="C251" s="8" t="n">
        <x:v>299.27</x:v>
      </x:c>
      <x:c r="D251" s="8" t="n">
        <x:v>390.21</x:v>
      </x:c>
      <x:c r="E251" s="8" t="n">
        <x:v>11.5</x:v>
      </x:c>
      <x:c r="F251" s="8" t="n">
        <x:v>459.5</x:v>
      </x:c>
      <x:c r="G251" s="8" t="n">
        <x:v>39.74454545454545</x:v>
      </x:c>
      <x:c r="H251" s="9" t="n">
        <x:v>35729184.39</x:v>
      </x:c>
      <x:c r="I251" s="9" t="n">
        <x:v>29087977.870209217</x:v>
      </x:c>
      <x:c r="J251" s="8" t="n">
        <x:v>1.611119</x:v>
      </x:c>
      <x:c r="K251" s="8" t="n">
        <x:v>4.74668874761681</x:v>
      </x:c>
      <x:c r="L251" s="8" t="n">
        <x:v>49.4</x:v>
      </x:c>
      <x:c r="M251" s="3" t="str">
        <x:v>Pulled from master workbook</x:v>
      </x:c>
    </x:row>
    <x:row r="252">
      <x:c r="A252" s="7" t="n">
        <x:v>44136</x:v>
      </x:c>
      <x:c r="B252" s="8" t="n">
        <x:v>45.97551444266909</x:v>
      </x:c>
      <x:c r="C252" s="8" t="n">
        <x:v>301.31</x:v>
      </x:c>
      <x:c r="D252" s="8" t="n">
        <x:v>398.19</x:v>
      </x:c>
      <x:c r="E252" s="8" t="n">
        <x:v>11.5</x:v>
      </x:c>
      <x:c r="F252" s="8" t="n">
        <x:v>472.73809523809524</x:v>
      </x:c>
      <x:c r="G252" s="8" t="n">
        <x:v>42.7</x:v>
      </x:c>
      <x:c r="H252" s="9" t="n">
        <x:v>36517795.8</x:v>
      </x:c>
      <x:c r="I252" s="9" t="n">
        <x:v>29411876.977047734</x:v>
      </x:c>
      <x:c r="J252" s="8" t="n">
        <x:v>1.544286</x:v>
      </x:c>
      <x:c r="K252" s="8" t="n">
        <x:v>6.60511074301456</x:v>
      </x:c>
      <x:c r="L252" s="8" t="n">
        <x:v>50.2</x:v>
      </x:c>
      <x:c r="M252" s="3" t="str">
        <x:v>Pulled from master workbook</x:v>
      </x:c>
    </x:row>
    <x:row r="253">
      <x:c r="A253" s="7" t="n">
        <x:v>44166</x:v>
      </x:c>
      <x:c r="B253" s="8" t="n">
        <x:v>46.717817058189915</x:v>
      </x:c>
      <x:c r="C253" s="8" t="n">
        <x:v>304.7</x:v>
      </x:c>
      <x:c r="D253" s="8" t="n">
        <x:v>406.36</x:v>
      </x:c>
      <x:c r="E253" s="8" t="n">
        <x:v>11.5</x:v>
      </x:c>
      <x:c r="F253" s="8" t="n">
        <x:v>471.6190476190476</x:v>
      </x:c>
      <x:c r="G253" s="8" t="n">
        <x:v>50.33</x:v>
      </x:c>
      <x:c r="H253" s="9" t="n">
        <x:v>37704975.97</x:v>
      </x:c>
      <x:c r="I253" s="9" t="n">
        <x:v>29890461.666642793</x:v>
      </x:c>
      <x:c r="J253" s="8" t="n">
        <x:v>1.419949</x:v>
      </x:c>
      <x:c r="K253" s="8" t="n">
        <x:v>6.2266822506245</x:v>
      </x:c>
      <x:c r="L253" s="8" t="n">
        <x:v>49.6</x:v>
      </x:c>
      <x:c r="M253" s="3" t="str">
        <x:v>Pulled from master workbook</x:v>
      </x:c>
    </x:row>
    <x:row r="254">
      <x:c r="A254" s="7" t="n">
        <x:v>44197</x:v>
      </x:c>
      <x:c r="B254" s="8" t="n">
        <x:v>47.41613630620103</x:v>
      </x:c>
      <x:c r="C254" s="8" t="n">
        <x:v>308.95</x:v>
      </x:c>
      <x:c r="D254" s="8" t="n">
        <x:v>413.82</x:v>
      </x:c>
      <x:c r="E254" s="8" t="n">
        <x:v>11.5</x:v>
      </x:c>
      <x:c r="F254" s="8" t="n">
        <x:v>472.4</x:v>
      </x:c>
      <x:c r="G254" s="8" t="n">
        <x:v>54.8662</x:v>
      </x:c>
      <x:c r="H254" s="9" t="n">
        <x:v>37741737.65</x:v>
      </x:c>
      <x:c r="I254" s="9" t="n">
        <x:v>30406282.72910951</x:v>
      </x:c>
      <x:c r="J254" s="8" t="n">
        <x:v>1.588988</x:v>
      </x:c>
      <x:c r="K254" s="8" t="n">
        <x:v>5.56213505761638</x:v>
      </x:c>
      <x:c r="L254" s="8" t="n">
        <x:v>44.9</x:v>
      </x:c>
      <x:c r="M254" s="3" t="str">
        <x:v>Pulled from master workbook</x:v>
      </x:c>
    </x:row>
    <x:row r="255">
      <x:c r="A255" s="7" t="n">
        <x:v>44228</x:v>
      </x:c>
      <x:c r="B255" s="8" t="n">
        <x:v>48.146929009271936</x:v>
      </x:c>
      <x:c r="C255" s="8" t="n">
        <x:v>312.83</x:v>
      </x:c>
      <x:c r="D255" s="8" t="n">
        <x:v>421.63</x:v>
      </x:c>
      <x:c r="E255" s="8" t="n">
        <x:v>11.5</x:v>
      </x:c>
      <x:c r="F255" s="8" t="n">
        <x:v>476.05</x:v>
      </x:c>
      <x:c r="G255" s="8" t="n">
        <x:v>62.4765</x:v>
      </x:c>
      <x:c r="H255" s="9" t="n">
        <x:v>38036535.17</x:v>
      </x:c>
      <x:c r="I255" s="9" t="n">
        <x:v>30505606.13908492</x:v>
      </x:c>
      <x:c r="J255" s="8" t="n">
        <x:v>1.619926</x:v>
      </x:c>
      <x:c r="K255" s="8" t="n">
        <x:v>5.58780379013622</x:v>
      </x:c>
      <x:c r="L255" s="8" t="n">
        <x:v>48.7</x:v>
      </x:c>
      <x:c r="M255" s="3" t="str">
        <x:v>Pulled from master workbook</x:v>
      </x:c>
    </x:row>
    <x:row r="256">
      <x:c r="A256" s="7" t="n">
        <x:v>44256</x:v>
      </x:c>
      <x:c r="B256" s="8" t="n">
        <x:v>48.89719636015331</x:v>
      </x:c>
      <x:c r="C256" s="8" t="n">
        <x:v>316.05</x:v>
      </x:c>
      <x:c r="D256" s="8" t="n">
        <x:v>429.66</x:v>
      </x:c>
      <x:c r="E256" s="8" t="n">
        <x:v>11.5</x:v>
      </x:c>
      <x:c r="F256" s="8" t="n">
        <x:v>481.2173913043478</x:v>
      </x:c>
      <x:c r="G256" s="8" t="n">
        <x:v>65.62</x:v>
      </x:c>
      <x:c r="H256" s="9" t="n">
        <x:v>38218832.96</x:v>
      </x:c>
      <x:c r="I256" s="9" t="n">
        <x:v>31437048.07709676</x:v>
      </x:c>
      <x:c r="J256" s="8" t="n">
        <x:v>1.652427</x:v>
      </x:c>
      <x:c r="K256" s="8" t="n">
        <x:v>6.73569673625326</x:v>
      </x:c>
      <x:c r="L256" s="8" t="n">
        <x:v>48.8</x:v>
      </x:c>
      <x:c r="M256" s="3" t="str">
        <x:v>Pulled from master workbook</x:v>
      </x:c>
    </x:row>
    <x:row r="257">
      <x:c r="A257" s="7" t="n">
        <x:v>44287</x:v>
      </x:c>
      <x:c r="B257" s="8" t="n">
        <x:v>49.373014700955984</x:v>
      </x:c>
      <x:c r="C257" s="8" t="n">
        <x:v>319.46</x:v>
      </x:c>
      <x:c r="D257" s="8" t="n">
        <x:v>433.92</x:v>
      </x:c>
      <x:c r="E257" s="8" t="n">
        <x:v>11.5</x:v>
      </x:c>
      <x:c r="F257" s="8" t="n">
        <x:v>481.6</x:v>
      </x:c>
      <x:c r="G257" s="8" t="n">
        <x:v>64.269</x:v>
      </x:c>
      <x:c r="H257" s="9" t="n">
        <x:v>38393171.98</x:v>
      </x:c>
      <x:c r="I257" s="9" t="n">
        <x:v>31897539.101615712</x:v>
      </x:c>
      <x:c r="J257" s="8" t="n">
        <x:v>1.5877803333333336</x:v>
      </x:c>
      <x:c r="K257" s="8" t="n">
        <x:v>6.26738310401001</x:v>
      </x:c>
      <x:c r="L257" s="8" t="n">
        <x:v>49</x:v>
      </x:c>
      <x:c r="M257" s="3" t="str">
        <x:v>Pulled from master workbook</x:v>
      </x:c>
    </x:row>
    <x:row r="258">
      <x:c r="A258" s="7" t="n">
        <x:v>44317</x:v>
      </x:c>
      <x:c r="B258" s="8" t="n">
        <x:v>49.8719625199696</x:v>
      </x:c>
      <x:c r="C258" s="8" t="n">
        <x:v>323.74</x:v>
      </x:c>
      <x:c r="D258" s="8" t="n">
        <x:v>438.49</x:v>
      </x:c>
      <x:c r="E258" s="8" t="n">
        <x:v>11.5</x:v>
      </x:c>
      <x:c r="F258" s="8" t="n">
        <x:v>482.8235294117647</x:v>
      </x:c>
      <x:c r="G258" s="8" t="n">
        <x:v>67.83157894736843</x:v>
      </x:c>
      <x:c r="H258" s="9" t="n">
        <x:v>38618814.39</x:v>
      </x:c>
      <x:c r="I258" s="9" t="n">
        <x:v>32117234.44266325</x:v>
      </x:c>
      <x:c r="J258" s="8" t="n">
        <x:v>1.5597803333333335</x:v>
      </x:c>
      <x:c r="K258" s="8" t="n">
        <x:v>6.23674669410597</x:v>
      </x:c>
      <x:c r="L258" s="8" t="n">
        <x:v>43.9</x:v>
      </x:c>
      <x:c r="M258" s="3" t="str">
        <x:v>Pulled from master workbook</x:v>
      </x:c>
    </x:row>
    <x:row r="259">
      <x:c r="A259" s="7" t="n">
        <x:v>44348</x:v>
      </x:c>
      <x:c r="B259" s="8" t="n">
        <x:v>50.399047363918235</x:v>
      </x:c>
      <x:c r="C259" s="8" t="n">
        <x:v>326.39</x:v>
      </x:c>
      <x:c r="D259" s="8" t="n">
        <x:v>443.37</x:v>
      </x:c>
      <x:c r="E259" s="8" t="n">
        <x:v>11.5</x:v>
      </x:c>
      <x:c r="F259" s="8" t="n">
        <x:v>496.1904761904762</x:v>
      </x:c>
      <x:c r="G259" s="8" t="n">
        <x:v>73.4581818181818</x:v>
      </x:c>
      <x:c r="H259" s="9" t="n">
        <x:v>38788327.48</x:v>
      </x:c>
      <x:c r="I259" s="9" t="n">
        <x:v>32625539.015492372</x:v>
      </x:c>
      <x:c r="J259" s="8" t="n">
        <x:v>1.5287803333333334</x:v>
      </x:c>
      <x:c r="K259" s="8" t="n">
        <x:v>5.95793808547085</x:v>
      </x:c>
      <x:c r="L259" s="8" t="n">
        <x:v>45.5</x:v>
      </x:c>
      <x:c r="M259" s="3" t="str">
        <x:v>Pulled from master workbook</x:v>
      </x:c>
    </x:row>
    <x:row r="260">
      <x:c r="A260" s="7" t="n">
        <x:v>44378</x:v>
      </x:c>
      <x:c r="B260" s="8" t="n">
        <x:v>50.86533391869552</x:v>
      </x:c>
      <x:c r="C260" s="8" t="n">
        <x:v>331.1</x:v>
      </x:c>
      <x:c r="D260" s="8" t="n">
        <x:v>447.18</x:v>
      </x:c>
      <x:c r="E260" s="8" t="n">
        <x:v>11.5</x:v>
      </x:c>
      <x:c r="F260" s="8" t="n">
        <x:v>503.9</x:v>
      </x:c>
      <x:c r="G260" s="8" t="n">
        <x:v>75.92681818181818</x:v>
      </x:c>
      <x:c r="H260" s="9" t="n">
        <x:v>39733556.72</x:v>
      </x:c>
      <x:c r="I260" s="9" t="n">
        <x:v>32860632.039767757</x:v>
      </x:c>
      <x:c r="J260" s="8" t="n">
        <x:v>1.5387803333333334</x:v>
      </x:c>
      <x:c r="K260" s="8" t="n">
        <x:v>5.26570527100522</x:v>
      </x:c>
      <x:c r="L260" s="8" t="n">
        <x:v>46.6</x:v>
      </x:c>
      <x:c r="M260" s="3" t="str">
        <x:v>Pulled from master workbook</x:v>
      </x:c>
    </x:row>
    <x:row r="261">
      <x:c r="A261" s="7" t="n">
        <x:v>44409</x:v>
      </x:c>
      <x:c r="B261" s="8" t="n">
        <x:v>51.38669021317828</x:v>
      </x:c>
      <x:c r="C261" s="8" t="n">
        <x:v>333.4</x:v>
      </x:c>
      <x:c r="D261" s="8" t="n">
        <x:v>451.93</x:v>
      </x:c>
      <x:c r="E261" s="8" t="n">
        <x:v>11.5</x:v>
      </x:c>
      <x:c r="F261" s="8" t="n">
        <x:v>512.227</x:v>
      </x:c>
      <x:c r="G261" s="8" t="n">
        <x:v>70.71857142857142</x:v>
      </x:c>
      <x:c r="H261" s="9" t="n">
        <x:v>40810092.82</x:v>
      </x:c>
      <x:c r="I261" s="9" t="n">
        <x:v>33441747.796652127</x:v>
      </x:c>
      <x:c r="J261" s="8" t="n">
        <x:v>1.4547803333333336</x:v>
      </x:c>
      <x:c r="K261" s="8" t="n">
        <x:v>5.91570937519357</x:v>
      </x:c>
      <x:c r="L261" s="8" t="n">
        <x:v>46.9</x:v>
      </x:c>
      <x:c r="M261" s="3" t="str">
        <x:v>Pulled from master workbook</x:v>
      </x:c>
    </x:row>
    <x:row r="262">
      <x:c r="A262" s="7" t="n">
        <x:v>44440</x:v>
      </x:c>
      <x:c r="B262" s="8" t="n">
        <x:v>51.97714311240896</x:v>
      </x:c>
      <x:c r="C262" s="8" t="n">
        <x:v>337.78</x:v>
      </x:c>
      <x:c r="D262" s="8" t="n">
        <x:v>457.61</x:v>
      </x:c>
      <x:c r="E262" s="8" t="n">
        <x:v>11.5</x:v>
      </x:c>
      <x:c r="F262" s="8" t="n">
        <x:v>551.045454545455</x:v>
      </x:c>
      <x:c r="G262" s="8" t="n">
        <x:v>74.55</x:v>
      </x:c>
      <x:c r="H262" s="9" t="n">
        <x:v>40449202.79</x:v>
      </x:c>
      <x:c r="I262" s="9" t="n">
        <x:v>33936527.13533008</x:v>
      </x:c>
      <x:c r="J262" s="8" t="n">
        <x:v>1.4627803333333336</x:v>
      </x:c>
      <x:c r="K262" s="8" t="n">
        <x:v>6.25578801463537</x:v>
      </x:c>
      <x:c r="L262" s="8" t="n">
        <x:v>46.6</x:v>
      </x:c>
      <x:c r="M262" s="3" t="str">
        <x:v>Pulled from master workbook</x:v>
      </x:c>
    </x:row>
    <x:row r="263">
      <x:c r="A263" s="7" t="n">
        <x:v>44470</x:v>
      </x:c>
      <x:c r="B263" s="8" t="n">
        <x:v>52.48752399733298</x:v>
      </x:c>
      <x:c r="C263" s="8" t="n">
        <x:v>340.52</x:v>
      </x:c>
      <x:c r="D263" s="8" t="n">
        <x:v>461.77</x:v>
      </x:c>
      <x:c r="E263" s="8" t="n">
        <x:v>11.5</x:v>
      </x:c>
      <x:c r="F263" s="8" t="n">
        <x:v>570.8947</x:v>
      </x:c>
      <x:c r="G263" s="8" t="n">
        <x:v>84.10857142857142</x:v>
      </x:c>
      <x:c r="H263" s="9" t="n">
        <x:v>41474377.37</x:v>
      </x:c>
      <x:c r="I263" s="9" t="n">
        <x:v>34619960.266730785</x:v>
      </x:c>
      <x:c r="J263" s="8" t="n">
        <x:v>1.4437803333333334</x:v>
      </x:c>
      <x:c r="K263" s="8" t="n">
        <x:v>7.00134219207479</x:v>
      </x:c>
      <x:c r="L263" s="8" t="n">
        <x:v>47.3</x:v>
      </x:c>
      <x:c r="M263" s="3" t="str">
        <x:v>Pulled from master workbook</x:v>
      </x:c>
    </x:row>
    <x:row r="264">
      <x:c r="A264" s="7" t="n">
        <x:v>44501</x:v>
      </x:c>
      <x:c r="B264" s="8" t="n">
        <x:v>53.05376763911497</x:v>
      </x:c>
      <x:c r="C264" s="8" t="n">
        <x:v>344.72</x:v>
      </x:c>
      <x:c r="D264" s="8" t="n">
        <x:v>466.71</x:v>
      </x:c>
      <x:c r="E264" s="8" t="n">
        <x:v>11.5</x:v>
      </x:c>
      <x:c r="F264" s="8" t="n">
        <x:v>556.2727</x:v>
      </x:c>
      <x:c r="G264" s="8" t="n">
        <x:v>82.16454545454543</x:v>
      </x:c>
      <x:c r="H264" s="9" t="n">
        <x:v>42600088.22</x:v>
      </x:c>
      <x:c r="I264" s="9" t="n">
        <x:v>35379184.45031527</x:v>
      </x:c>
      <x:c r="J264" s="8" t="n">
        <x:v>1.4907803333333334</x:v>
      </x:c>
      <x:c r="K264" s="8" t="n">
        <x:v>6.70414084376006</x:v>
      </x:c>
      <x:c r="L264" s="8" t="n">
        <x:v>50.8</x:v>
      </x:c>
      <x:c r="M264" s="3" t="str">
        <x:v>Pulled from master workbook</x:v>
      </x:c>
    </x:row>
    <x:row r="265">
      <x:c r="A265" s="7" t="n">
        <x:v>44531</x:v>
      </x:c>
      <x:c r="B265" s="8" t="n">
        <x:v>54.01770435384956</x:v>
      </x:c>
      <x:c r="C265" s="8" t="n">
        <x:v>348.42</x:v>
      </x:c>
      <x:c r="D265" s="8" t="n">
        <x:v>476.95</x:v>
      </x:c>
      <x:c r="E265" s="8" t="n">
        <x:v>11.5</x:v>
      </x:c>
      <x:c r="F265" s="8" t="n">
        <x:v>570.142857142857</x:v>
      </x:c>
      <x:c r="G265" s="8" t="n">
        <x:v>74.95285714285714</x:v>
      </x:c>
      <x:c r="H265" s="9" t="n">
        <x:v>43817565.64</x:v>
      </x:c>
      <x:c r="I265" s="9" t="n">
        <x:v>34920731.344798915</x:v>
      </x:c>
      <x:c r="J265" s="8" t="n">
        <x:v>1.4127803333333335</x:v>
      </x:c>
      <x:c r="K265" s="8" t="n">
        <x:v>6.70887473237974</x:v>
      </x:c>
      <x:c r="L265" s="8" t="n">
        <x:v>52</x:v>
      </x:c>
      <x:c r="M265" s="3" t="str">
        <x:v>Pulled from master workbook</x:v>
      </x:c>
    </x:row>
    <x:row r="266">
      <x:c r="A266" s="7" t="n">
        <x:v>44562</x:v>
      </x:c>
      <x:c r="B266" s="8" t="n">
        <x:v>54.81331176953569</x:v>
      </x:c>
      <x:c r="C266" s="8" t="n">
        <x:v>352.71</x:v>
      </x:c>
      <x:c r="D266" s="8" t="n">
        <x:v>484.69</x:v>
      </x:c>
      <x:c r="E266" s="8" t="n">
        <x:v>11.5</x:v>
      </x:c>
      <x:c r="F266" s="8" t="n">
        <x:v>570</x:v>
      </x:c>
      <x:c r="G266" s="8" t="n">
        <x:v>88.71142857142857</x:v>
      </x:c>
      <x:c r="H266" s="9" t="n">
        <x:v>44295132.204728104</x:v>
      </x:c>
      <x:c r="I266" s="9" t="n">
        <x:v>35184136.51479107</x:v>
      </x:c>
      <x:c r="J266" s="8" t="n">
        <x:v>1.398507186451613</x:v>
      </x:c>
      <x:c r="K266" s="8" t="n">
        <x:v>8.19178316429783</x:v>
      </x:c>
      <x:c r="L266" s="8" t="n">
        <x:v>51.4</x:v>
      </x:c>
      <x:c r="M266" s="3" t="str">
        <x:v>Pulled from master workbook</x:v>
      </x:c>
    </x:row>
    <x:row r="267">
      <x:c r="A267" s="7" t="n">
        <x:v>44593</x:v>
      </x:c>
      <x:c r="B267" s="8" t="n">
        <x:v>55.70717441821198</x:v>
      </x:c>
      <x:c r="C267" s="8" t="n">
        <x:v>357.49</x:v>
      </x:c>
      <x:c r="D267" s="8" t="n">
        <x:v>493.77</x:v>
      </x:c>
      <x:c r="E267" s="8" t="n">
        <x:v>11.5</x:v>
      </x:c>
      <x:c r="F267" s="8" t="n">
        <x:v>569.9</x:v>
      </x:c>
      <x:c r="G267" s="8" t="n">
        <x:v>99.63900000000001</x:v>
      </x:c>
      <x:c r="H267" s="9" t="n">
        <x:v>44739337.91841961</x:v>
      </x:c>
      <x:c r="I267" s="9" t="n">
        <x:v>35986524.62270334</x:v>
      </x:c>
      <x:c r="J267" s="8" t="n">
        <x:v>1.2577856238214284</x:v>
      </x:c>
      <x:c r="K267" s="8" t="n">
        <x:v>8.52751673445273</x:v>
      </x:c>
      <x:c r="L267" s="8" t="n">
        <x:v>50.1</x:v>
      </x:c>
      <x:c r="M267" s="3" t="str">
        <x:v>Pulled from master workbook</x:v>
      </x:c>
    </x:row>
    <x:row r="268">
      <x:c r="A268" s="7" t="n">
        <x:v>44621</x:v>
      </x:c>
      <x:c r="B268" s="8" t="n">
        <x:v>56.67926006121567</x:v>
      </x:c>
      <x:c r="C268" s="8" t="n">
        <x:v>360.46</x:v>
      </x:c>
      <x:c r="D268" s="8" t="n">
        <x:v>503.57</x:v>
      </x:c>
      <x:c r="E268" s="8" t="n">
        <x:v>11.5</x:v>
      </x:c>
      <x:c r="F268" s="8" t="n">
        <x:v>578.695652173913</x:v>
      </x:c>
      <x:c r="G268" s="8" t="n">
        <x:v>121.23000000000002</x:v>
      </x:c>
      <x:c r="H268" s="9" t="n">
        <x:v>46495041.96758197</x:v>
      </x:c>
      <x:c r="I268" s="9" t="n">
        <x:v>36467412.32786897</x:v>
      </x:c>
      <x:c r="J268" s="8" t="n">
        <x:v>1.237573240967742</x:v>
      </x:c>
      <x:c r="K268" s="8" t="n">
        <x:v>12.4046239088733</x:v>
      </x:c>
      <x:c r="L268" s="8" t="n">
        <x:v>50.028078822690816</x:v>
      </x:c>
      <x:c r="M268" s="3" t="str">
        <x:v>Pulled from master workbook</x:v>
      </x:c>
    </x:row>
    <x:row r="269">
      <x:c r="A269" s="7" t="n">
        <x:v>44652</x:v>
      </x:c>
      <x:c r="B269" s="8" t="n">
        <x:v>57.67696938922364</x:v>
      </x:c>
      <x:c r="C269" s="8" t="n">
        <x:v>364.64</x:v>
      </x:c>
      <x:c r="D269" s="8" t="n">
        <x:v>513.63</x:v>
      </x:c>
      <x:c r="E269" s="8" t="n">
        <x:v>11.5</x:v>
      </x:c>
      <x:c r="F269" s="8" t="n">
        <x:v>587.368421052632</x:v>
      </x:c>
      <x:c r="G269" s="8" t="n">
        <x:v>106.50842105263159</x:v>
      </x:c>
      <x:c r="H269" s="9" t="n">
        <x:v>47146645.187685564</x:v>
      </x:c>
      <x:c r="I269" s="9" t="n">
        <x:v>37448525.111070886</x:v>
      </x:c>
      <x:c r="J269" s="8" t="n">
        <x:v>1.2192149660000002</x:v>
      </x:c>
      <x:c r="K269" s="8" t="n">
        <x:v>9.20072567158547</x:v>
      </x:c>
      <x:c r="L269" s="8" t="n">
        <x:v>50.54252208779285</x:v>
      </x:c>
      <x:c r="M269" s="3" t="str">
        <x:v>Pulled from master workbook</x:v>
      </x:c>
    </x:row>
    <x:row r="270">
      <x:c r="A270" s="7" t="n">
        <x:v>44682</x:v>
      </x:c>
      <x:c r="B270" s="8" t="n">
        <x:v>58.70518443654343</x:v>
      </x:c>
      <x:c r="C270" s="8" t="n">
        <x:v>371.78</x:v>
      </x:c>
      <x:c r="D270" s="8" t="n">
        <x:v>523.98</x:v>
      </x:c>
      <x:c r="E270" s="8" t="n">
        <x:v>13</x:v>
      </x:c>
      <x:c r="F270" s="8" t="n">
        <x:v>595.25</x:v>
      </x:c>
      <x:c r="G270" s="8" t="n">
        <x:v>116.71714285714286</x:v>
      </x:c>
      <x:c r="H270" s="9" t="n">
        <x:v>48513506.45078315</x:v>
      </x:c>
      <x:c r="I270" s="9" t="n">
        <x:v>38456850.60064525</x:v>
      </x:c>
      <x:c r="J270" s="8" t="n">
        <x:v>1.0243705887096775</x:v>
      </x:c>
      <x:c r="K270" s="8" t="n">
        <x:v>9.40778306201878</x:v>
      </x:c>
      <x:c r="L270" s="8" t="n">
        <x:v>50.56135327510267</x:v>
      </x:c>
      <x:c r="M270" s="3" t="str">
        <x:v>Pulled from master workbook</x:v>
      </x:c>
    </x:row>
    <x:row r="271">
      <x:c r="A271" s="7" t="n">
        <x:v>44713</x:v>
      </x:c>
      <x:c r="B271" s="8" t="n">
        <x:v>59.771060576532186</x:v>
      </x:c>
      <x:c r="C271" s="8" t="n">
        <x:v>377.64</x:v>
      </x:c>
      <x:c r="D271" s="8" t="n">
        <x:v>534.71</x:v>
      </x:c>
      <x:c r="E271" s="8" t="n">
        <x:v>13</x:v>
      </x:c>
      <x:c r="F271" s="8" t="n">
        <x:v>601.14</x:v>
      </x:c>
      <x:c r="G271" s="8" t="n">
        <x:v>130.09954545454545</x:v>
      </x:c>
      <x:c r="H271" s="9" t="n">
        <x:v>48897446.57229756</x:v>
      </x:c>
      <x:c r="I271" s="9" t="n">
        <x:v>39233605.99063284</x:v>
      </x:c>
      <x:c r="J271" s="8" t="n">
        <x:v>1.1582738063333333</x:v>
      </x:c>
      <x:c r="K271" s="8" t="n">
        <x:v>9.78100883624402</x:v>
      </x:c>
      <x:c r="L271" s="8" t="n">
        <x:v>52.196552886141674</x:v>
      </x:c>
      <x:c r="M271" s="3" t="str">
        <x:v>Pulled from master workbook</x:v>
      </x:c>
    </x:row>
    <x:row r="272">
      <x:c r="A272" s="7" t="n">
        <x:v>44743</x:v>
      </x:c>
      <x:c r="B272" s="8" t="n">
        <x:v>60.856821738069335</x:v>
      </x:c>
      <x:c r="C272" s="8" t="n">
        <x:v>384.29</x:v>
      </x:c>
      <x:c r="D272" s="8" t="n">
        <x:v>545.64</x:v>
      </x:c>
      <x:c r="E272" s="8" t="n">
        <x:v>14</x:v>
      </x:c>
      <x:c r="F272" s="8" t="n">
        <x:v>641.6842105263158</x:v>
      </x:c>
      <x:c r="G272" s="8" t="n">
        <x:v>120.53523809523809</x:v>
      </x:c>
      <x:c r="H272" s="9" t="n">
        <x:v>48290293.33916557</x:v>
      </x:c>
      <x:c r="I272" s="9" t="n">
        <x:v>39853077.53526846</x:v>
      </x:c>
      <x:c r="J272" s="8" t="n">
        <x:v>1.0838992977419355</x:v>
      </x:c>
      <x:c r="K272" s="8" t="n">
        <x:v>12.5119073305451</x:v>
      </x:c>
      <x:c r="L272" s="8" t="n">
        <x:v>50.38901683703216</x:v>
      </x:c>
      <x:c r="M272" s="3" t="str">
        <x:v>Pulled from master workbook</x:v>
      </x:c>
    </x:row>
    <x:row r="273">
      <x:c r="A273" s="7" t="n">
        <x:v>44774</x:v>
      </x:c>
      <x:c r="B273" s="8" t="n">
        <x:v>61.93372718108303</x:v>
      </x:c>
      <x:c r="C273" s="8" t="n">
        <x:v>390.46</x:v>
      </x:c>
      <x:c r="D273" s="8" t="n">
        <x:v>556.42</x:v>
      </x:c>
      <x:c r="E273" s="8" t="n">
        <x:v>14</x:v>
      </x:c>
      <x:c r="F273" s="8" t="n">
        <x:v>674.3181818181819</x:v>
      </x:c>
      <x:c r="G273" s="8" t="n">
        <x:v>106.34</x:v>
      </x:c>
      <x:c r="H273" s="9" t="n">
        <x:v>49315851.173050076</x:v>
      </x:c>
      <x:c r="I273" s="9" t="n">
        <x:v>40203768.22216395</x:v>
      </x:c>
      <x:c r="J273" s="8" t="n">
        <x:v>0.97</x:v>
      </x:c>
      <x:c r="K273" s="8" t="n">
        <x:v>11.8597565713066</x:v>
      </x:c>
      <x:c r="L273" s="8" t="n">
        <x:v>47.24000010213419</x:v>
      </x:c>
      <x:c r="M273" s="3" t="str">
        <x:v>Pulled from master workbook</x:v>
      </x:c>
    </x:row>
    <x:row r="274">
      <x:c r="A274" s="7" t="n">
        <x:v>44805</x:v>
      </x:c>
      <x:c r="B274" s="8" t="n">
        <x:v>62.774712765152806</x:v>
      </x:c>
      <x:c r="C274" s="8" t="n">
        <x:v>396.87</x:v>
      </x:c>
      <x:c r="D274" s="8" t="n">
        <x:v>564.4</x:v>
      </x:c>
      <x:c r="E274" s="8" t="n">
        <x:v>15.5</x:v>
      </x:c>
      <x:c r="F274" s="8" t="n">
        <x:v>711.3636363636364</x:v>
      </x:c>
      <x:c r="G274" s="8" t="n">
        <x:v>93.25</x:v>
      </x:c>
      <x:c r="H274" s="9" t="n">
        <x:v>49331836.37342918</x:v>
      </x:c>
      <x:c r="I274" s="9" t="n">
        <x:v>40515280.181674466</x:v>
      </x:c>
      <x:c r="J274" s="8" t="n">
        <x:v>0.94</x:v>
      </x:c>
      <x:c r="K274" s="8" t="n">
        <x:v>10.3059119513566</x:v>
      </x:c>
      <x:c r="L274" s="8" t="n">
        <x:v>50.23870080834948</x:v>
      </x:c>
      <x:c r="M274" s="3" t="str">
        <x:v>Pulled from master workbook</x:v>
      </x:c>
    </x:row>
    <x:row r="275">
      <x:c r="A275" s="7" t="n">
        <x:v>44835</x:v>
      </x:c>
      <x:c r="B275" s="8" t="n">
        <x:v>63.555628608568504</x:v>
      </x:c>
      <x:c r="C275" s="8" t="n">
        <x:v>399.97</x:v>
      </x:c>
      <x:c r="D275" s="8" t="n">
        <x:v>571.32</x:v>
      </x:c>
      <x:c r="E275" s="8" t="n">
        <x:v>15.5</x:v>
      </x:c>
      <x:c r="F275" s="8" t="n">
        <x:v>751.8421052631579</x:v>
      </x:c>
      <x:c r="G275" s="8" t="n">
        <x:v>96.57</x:v>
      </x:c>
      <x:c r="H275" s="9" t="n">
        <x:v>50628734.52705236</x:v>
      </x:c>
      <x:c r="I275" s="9" t="n">
        <x:v>40835318.90636693</x:v>
      </x:c>
      <x:c r="J275" s="8" t="n">
        <x:v>1.01</x:v>
      </x:c>
      <x:c r="K275" s="8" t="n">
        <x:v>12.8104741893054</x:v>
      </x:c>
      <x:c r="L275" s="8" t="n">
        <x:v>52.25168229248676</x:v>
      </x:c>
      <x:c r="M275" s="3" t="str">
        <x:v>Pulled from master workbook</x:v>
      </x:c>
    </x:row>
    <x:row r="276">
      <x:c r="A276" s="7" t="n">
        <x:v>44866</x:v>
      </x:c>
      <x:c r="B276" s="8" t="n">
        <x:v>64.44209785891465</x:v>
      </x:c>
      <x:c r="C276" s="8" t="n">
        <x:v>406.75</x:v>
      </x:c>
      <x:c r="D276" s="8" t="n">
        <x:v>579.31</x:v>
      </x:c>
      <x:c r="E276" s="8" t="n">
        <x:v>16.5</x:v>
      </x:c>
      <x:c r="F276" s="8" t="n">
        <x:v>796.5909090909091</x:v>
      </x:c>
      <x:c r="G276" s="8" t="n">
        <x:v>93.36</x:v>
      </x:c>
      <x:c r="H276" s="9" t="n">
        <x:v>51684794.02177286</x:v>
      </x:c>
      <x:c r="I276" s="9" t="n">
        <x:v>41529765.72863312</x:v>
      </x:c>
      <x:c r="J276" s="8" t="n">
        <x:v>1.19</x:v>
      </x:c>
      <x:c r="K276" s="8" t="n">
        <x:v>12.2502315246294</x:v>
      </x:c>
      <x:c r="L276" s="8" t="n">
        <x:v>49.38788149413793</x:v>
      </x:c>
      <x:c r="M276" s="3" t="str">
        <x:v>Pulled from master workbook</x:v>
      </x:c>
    </x:row>
    <x:row r="277">
      <x:c r="A277" s="7" t="n">
        <x:v>44896</x:v>
      </x:c>
      <x:c r="B277" s="8" t="n">
        <x:v>65.5471321750793</x:v>
      </x:c>
      <x:c r="C277" s="8" t="n">
        <x:v>412.16</x:v>
      </x:c>
      <x:c r="D277" s="8" t="n">
        <x:v>590.26</x:v>
      </x:c>
      <x:c r="E277" s="8" t="n">
        <x:v>16.5</x:v>
      </x:c>
      <x:c r="F277" s="8" t="n">
        <x:v>739</x:v>
      </x:c>
      <x:c r="G277" s="8" t="n">
        <x:v>82.5</x:v>
      </x:c>
      <x:c r="H277" s="9" t="n">
        <x:v>51793634.13062924</x:v>
      </x:c>
      <x:c r="I277" s="9" t="n">
        <x:v>42433838.9773013</x:v>
      </x:c>
      <x:c r="J277" s="8" t="n">
        <x:v>1.24</x:v>
      </x:c>
      <x:c r="K277" s="8" t="n">
        <x:v>12.5501846826947</x:v>
      </x:c>
      <x:c r="L277" s="8" t="n">
        <x:v>49.52307564972233</x:v>
      </x:c>
      <x:c r="M277" s="3" t="str">
        <x:v>Pulled from master workbook</x:v>
      </x:c>
    </x:row>
    <x:row r="278">
      <x:c r="A278" s="7" t="n">
        <x:v>44927</x:v>
      </x:c>
      <x:c r="B278" s="8" t="n">
        <x:v>66.77156197218216</x:v>
      </x:c>
      <x:c r="C278" s="8" t="n">
        <x:v>419.29</x:v>
      </x:c>
      <x:c r="D278" s="8" t="n">
        <x:v>602.54</x:v>
      </x:c>
      <x:c r="E278" s="8" t="n">
        <x:v>17.5</x:v>
      </x:c>
      <x:c r="F278" s="8" t="n">
        <x:v>746.4761904761905</x:v>
      </x:c>
      <x:c r="G278" s="8" t="n">
        <x:v>84.78</x:v>
      </x:c>
      <x:c r="H278" s="9" t="n">
        <x:v>52803776.65192972</x:v>
      </x:c>
      <x:c r="I278" s="9" t="n">
        <x:v>42770026.37699605</x:v>
      </x:c>
      <x:c r="J278" s="8" t="n">
        <x:v>1.26</x:v>
      </x:c>
      <x:c r="K278" s="8" t="n">
        <x:v>16.5199370439744</x:v>
      </x:c>
      <x:c r="L278" s="8" t="n">
        <x:v>50.11976683703216</x:v>
      </x:c>
      <x:c r="M278" s="3" t="str">
        <x:v>Pulled from master workbook</x:v>
      </x:c>
    </x:row>
    <x:row r="279">
      <x:c r="A279" s="7" t="n">
        <x:v>44958</x:v>
      </x:c>
      <x:c r="B279" s="8" t="n">
        <x:v>67.91246787178929</x:v>
      </x:c>
      <x:c r="C279" s="8" t="n">
        <x:v>423.14</x:v>
      </x:c>
      <x:c r="D279" s="8" t="n">
        <x:v>614.01</x:v>
      </x:c>
      <x:c r="E279" s="8" t="n">
        <x:v>17.5</x:v>
      </x:c>
      <x:c r="F279" s="8" t="n">
        <x:v>756.5</x:v>
      </x:c>
      <x:c r="G279" s="8" t="n">
        <x:v>86.04</x:v>
      </x:c>
      <x:c r="H279" s="9" t="n">
        <x:v>52925410.853908435</x:v>
      </x:c>
      <x:c r="I279" s="9" t="n">
        <x:v>43595665.48637622</x:v>
      </x:c>
      <x:c r="J279" s="8" t="n">
        <x:v>1.31</x:v>
      </x:c>
      <x:c r="K279" s="8" t="n">
        <x:v>29.3807801229093</x:v>
      </x:c>
      <x:c r="L279" s="8" t="n">
        <x:v>41.145474145158204</x:v>
      </x:c>
      <x:c r="M279" s="3" t="str">
        <x:v>Pulled from master workbook</x:v>
      </x:c>
    </x:row>
    <x:row r="280">
      <x:c r="A280" s="7" t="n">
        <x:v>44986</x:v>
      </x:c>
      <x:c r="B280" s="8" t="n">
        <x:v>69.17322483693597</x:v>
      </x:c>
      <x:c r="C280" s="8" t="n">
        <x:v>431.24</x:v>
      </x:c>
      <x:c r="D280" s="8" t="n">
        <x:v>626.7</x:v>
      </x:c>
      <x:c r="E280" s="8" t="n">
        <x:v>18</x:v>
      </x:c>
      <x:c r="F280" s="8" t="n">
        <x:v>754.3478260869565</x:v>
      </x:c>
      <x:c r="G280" s="8" t="n">
        <x:v>81.12</x:v>
      </x:c>
      <x:c r="H280" s="9" t="n">
        <x:v>54186162.749988005</x:v>
      </x:c>
      <x:c r="I280" s="9" t="n">
        <x:v>44266233.16934281</x:v>
      </x:c>
      <x:c r="J280" s="8" t="n">
        <x:v>1.27</x:v>
      </x:c>
      <x:c r="K280" s="8" t="n">
        <x:v>11.8119613217824</x:v>
      </x:c>
      <x:c r="L280" s="8" t="n">
        <x:v>42.70342058322873</x:v>
      </x:c>
      <x:c r="M280" s="3" t="str">
        <x:v>Pulled from master workbook</x:v>
      </x:c>
    </x:row>
    <x:row r="281">
      <x:c r="A281" s="7" t="n">
        <x:v>45017</x:v>
      </x:c>
      <x:c r="B281" s="8" t="n">
        <x:v>70.49408772063406</x:v>
      </x:c>
      <x:c r="C281" s="8" t="n">
        <x:v>437.44</x:v>
      </x:c>
      <x:c r="D281" s="8" t="n">
        <x:v>640.04</x:v>
      </x:c>
      <x:c r="E281" s="8" t="n">
        <x:v>18</x:v>
      </x:c>
      <x:c r="F281" s="8" t="n">
        <x:v>743.4375</x:v>
      </x:c>
      <x:c r="G281" s="8" t="n">
        <x:v>86.57</x:v>
      </x:c>
      <x:c r="H281" s="9" t="n">
        <x:v>55678570.26726035</x:v>
      </x:c>
      <x:c r="I281" s="9" t="n">
        <x:v>44814664.98509413</x:v>
      </x:c>
      <x:c r="J281" s="8" t="n">
        <x:v>0.998601617333333</x:v>
      </x:c>
      <x:c r="K281" s="8" t="n">
        <x:v>9.74786777914946</x:v>
      </x:c>
      <x:c r="L281" s="8" t="n">
        <x:v>51.17678743068707</x:v>
      </x:c>
      <x:c r="M281" s="3" t="str">
        <x:v>Pulled from master workbook</x:v>
      </x:c>
    </x:row>
    <x:row r="282">
      <x:c r="A282" s="7" t="n">
        <x:v>45047</x:v>
      </x:c>
      <x:c r="B282" s="8" t="n">
        <x:v>71.86301788190899</x:v>
      </x:c>
      <x:c r="C282" s="8" t="n">
        <x:v>445.52</x:v>
      </x:c>
      <x:c r="D282" s="8" t="n">
        <x:v>654.06</x:v>
      </x:c>
      <x:c r="E282" s="8" t="n">
        <x:v>18.5</x:v>
      </x:c>
      <x:c r="F282" s="8" t="n">
        <x:v>749.5238095238095</x:v>
      </x:c>
      <x:c r="G282" s="8" t="n">
        <x:v>76.91</x:v>
      </x:c>
      <x:c r="H282" s="9" t="n">
        <x:v>55771353.95298341</x:v>
      </x:c>
      <x:c r="I282" s="9" t="n">
        <x:v>45956619.05281423</x:v>
      </x:c>
      <x:c r="J282" s="8" t="n">
        <x:v>1.18369120064516</x:v>
      </x:c>
      <x:c r="K282" s="8" t="n">
        <x:v>11.4601871341327</x:v>
      </x:c>
      <x:c r="L282" s="8" t="n">
        <x:v>54.55680288614168</x:v>
      </x:c>
      <x:c r="M282" s="3" t="str">
        <x:v>Pulled from master workbook</x:v>
      </x:c>
    </x:row>
    <x:row r="283">
      <x:c r="A283" s="7" t="n">
        <x:v>45078</x:v>
      </x:c>
      <x:c r="B283" s="8" t="n">
        <x:v>73.39257985067388</x:v>
      </x:c>
      <x:c r="C283" s="8" t="n">
        <x:v>453.4</x:v>
      </x:c>
      <x:c r="D283" s="8" t="n">
        <x:v>669.73</x:v>
      </x:c>
      <x:c r="E283" s="8" t="n">
        <x:v>18.5</x:v>
      </x:c>
      <x:c r="F283" s="8" t="n">
        <x:v>759.7222222222222</x:v>
      </x:c>
      <x:c r="G283" s="8" t="n">
        <x:v>76.96955</x:v>
      </x:c>
      <x:c r="H283" s="9" t="n">
        <x:v>64925036.90979633</x:v>
      </x:c>
      <x:c r="I283" s="9" t="n">
        <x:v>54503988.52094133</x:v>
      </x:c>
      <x:c r="J283" s="8" t="n">
        <x:v>1.24895992033333</x:v>
      </x:c>
      <x:c r="K283" s="8" t="n">
        <x:v>11.7096362173485</x:v>
      </x:c>
      <x:c r="L283" s="8" t="n">
        <x:v>50.395782978275214</x:v>
      </x:c>
      <x:c r="M283" s="3" t="str">
        <x:v>Pulled from master workbook</x:v>
      </x:c>
    </x:row>
    <x:row r="284">
      <x:c r="A284" s="7" t="n">
        <x:v>45108</x:v>
      </x:c>
      <x:c r="B284" s="8" t="n">
        <x:v>75.51087344603005</x:v>
      </x:c>
      <x:c r="C284" s="8" t="n">
        <x:v>462.97</x:v>
      </x:c>
      <x:c r="D284" s="8" t="n">
        <x:v>692.86</x:v>
      </x:c>
      <x:c r="E284" s="8" t="n">
        <x:v>18.75</x:v>
      </x:c>
      <x:c r="F284" s="8" t="n">
        <x:v>826.047619047619</x:v>
      </x:c>
      <x:c r="G284" s="8" t="n">
        <x:v>82.27</x:v>
      </x:c>
      <x:c r="H284" s="9" t="n">
        <x:v>65319117.73212665</x:v>
      </x:c>
      <x:c r="I284" s="9" t="n">
        <x:v>56461183.870664194</x:v>
      </x:c>
      <x:c r="J284" s="8" t="n">
        <x:v>1.08</x:v>
      </x:c>
      <x:c r="K284" s="8" t="n">
        <x:v>12.9296890604261</x:v>
      </x:c>
      <x:c r="L284" s="8" t="n">
        <x:v>48.917150398961645</x:v>
      </x:c>
      <x:c r="M284" s="3" t="str">
        <x:v>Pulled from master workbook</x:v>
      </x:c>
    </x:row>
    <x:row r="285">
      <x:c r="A285" s="7" t="n">
        <x:v>45139</x:v>
      </x:c>
      <x:c r="B285" s="8" t="n">
        <x:v>77.91129125544816</x:v>
      </x:c>
      <x:c r="C285" s="8" t="n">
        <x:v>473.04</x:v>
      </x:c>
      <x:c r="D285" s="8" t="n">
        <x:v>719.66</x:v>
      </x:c>
      <x:c r="E285" s="8" t="n">
        <x:v>18.75</x:v>
      </x:c>
      <x:c r="F285" s="8" t="n">
        <x:v>897.6086956521739</x:v>
      </x:c>
      <x:c r="G285" s="8" t="n">
        <x:v>89.3</x:v>
      </x:c>
      <x:c r="H285" s="9" t="n">
        <x:v>65638978.68055388</x:v>
      </x:c>
      <x:c r="I285" s="9" t="n">
        <x:v>56948060.88539927</x:v>
      </x:c>
      <x:c r="J285" s="8" t="n">
        <x:v>1.18</x:v>
      </x:c>
      <x:c r="K285" s="8" t="n">
        <x:v>13.2534452452012</x:v>
      </x:c>
      <x:c r="L285" s="8" t="n">
        <x:v>42.33220783494833</x:v>
      </x:c>
      <x:c r="M285" s="3" t="str">
        <x:v>Pulled from master workbook</x:v>
      </x:c>
    </x:row>
    <x:row r="286">
      <x:c r="A286" s="7" t="n">
        <x:v>45170</x:v>
      </x:c>
      <x:c r="B286" s="8" t="n">
        <x:v>79.5454994605643</x:v>
      </x:c>
      <x:c r="C286" s="8" t="n">
        <x:v>483.55</x:v>
      </x:c>
      <x:c r="D286" s="8" t="n">
        <x:v>737.31</x:v>
      </x:c>
      <x:c r="E286" s="8" t="n">
        <x:v>18.75</x:v>
      </x:c>
      <x:c r="F286" s="8" t="n">
        <x:v>953.5</x:v>
      </x:c>
      <x:c r="G286" s="8" t="n">
        <x:v>98.16</x:v>
      </x:c>
      <x:c r="H286" s="9" t="n">
        <x:v>66174923.16240004</x:v>
      </x:c>
      <x:c r="I286" s="9" t="n">
        <x:v>59507347.450224504</x:v>
      </x:c>
      <x:c r="J286" s="8" t="n">
        <x:v>1.35</x:v>
      </x:c>
      <x:c r="K286" s="8" t="n">
        <x:v>10.2671807352682</x:v>
      </x:c>
      <x:c r="L286" s="8" t="n">
        <x:v>45.50443614918562</x:v>
      </x:c>
      <x:c r="M286" s="3" t="str">
        <x:v>Pulled from master workbook</x:v>
      </x:c>
    </x:row>
    <x:row r="287">
      <x:c r="A287" s="7" t="n">
        <x:v>45200</x:v>
      </x:c>
      <x:c r="B287" s="8" t="n">
        <x:v>80.92520503415355</x:v>
      </x:c>
      <x:c r="C287" s="8" t="n">
        <x:v>490.27</x:v>
      </x:c>
      <x:c r="D287" s="8" t="n">
        <x:v>751.41</x:v>
      </x:c>
      <x:c r="E287" s="8" t="n">
        <x:v>18.75</x:v>
      </x:c>
      <x:c r="F287" s="8" t="n">
        <x:v>1090.952380952381</x:v>
      </x:c>
      <x:c r="G287" s="8" t="n">
        <x:v>94.9</x:v>
      </x:c>
      <x:c r="H287" s="9" t="n">
        <x:v>72661232.78084698</x:v>
      </x:c>
      <x:c r="I287" s="9" t="n">
        <x:v>63569717.25253117</x:v>
      </x:c>
      <x:c r="J287" s="8" t="n">
        <x:v>1.35</x:v>
      </x:c>
      <x:c r="K287" s="8" t="n">
        <x:v>12.8460397810601</x:v>
      </x:c>
      <x:c r="L287" s="8" t="n">
        <x:v>42.608599999999996</x:v>
      </x:c>
      <x:c r="M287" s="3" t="str">
        <x:v>Pulled from master workbook</x:v>
      </x:c>
    </x:row>
    <x:row r="288">
      <x:c r="A288" s="7" t="n">
        <x:v>45231</x:v>
      </x:c>
      <x:c r="B288" s="8" t="n">
        <x:v>82.61488183561968</x:v>
      </x:c>
      <x:c r="C288" s="8" t="n">
        <x:v>497.79</x:v>
      </x:c>
      <x:c r="D288" s="8" t="n">
        <x:v>769.58</x:v>
      </x:c>
      <x:c r="E288" s="8" t="n">
        <x:v>18.75</x:v>
      </x:c>
      <x:c r="F288" s="8" t="n">
        <x:v>1125.909090909091</x:v>
      </x:c>
      <x:c r="G288" s="8" t="n">
        <x:v>85.76</x:v>
      </x:c>
      <x:c r="H288" s="9" t="n">
        <x:v>71342958.5098678</x:v>
      </x:c>
      <x:c r="I288" s="9" t="n">
        <x:v>59685116.08085009</x:v>
      </x:c>
      <x:c r="J288" s="8" t="n">
        <x:v>1.25</x:v>
      </x:c>
      <x:c r="K288" s="8" t="n">
        <x:v>12.2360066876554</x:v>
      </x:c>
      <x:c r="L288" s="8" t="n">
        <x:v>46.3</x:v>
      </x:c>
      <x:c r="M288" s="3" t="str">
        <x:v>Pulled from master workbook</x:v>
      </x:c>
    </x:row>
    <x:row r="289">
      <x:c r="A289" s="7" t="n">
        <x:v>45261</x:v>
      </x:c>
      <x:c r="B289" s="8" t="n">
        <x:v>84.50453596495616</x:v>
      </x:c>
      <x:c r="C289" s="8" t="n">
        <x:v>506.86</x:v>
      </x:c>
      <x:c r="D289" s="8" t="n">
        <x:v>790.53</x:v>
      </x:c>
      <x:c r="E289" s="8" t="n">
        <x:v>18.75</x:v>
      </x:c>
      <x:c r="F289" s="8" t="n">
        <x:v>1203.421052631579</x:v>
      </x:c>
      <x:c r="G289" s="8" t="n">
        <x:v>79.12</x:v>
      </x:c>
      <x:c r="H289" s="9" t="n">
        <x:v>78831122.0003618</x:v>
      </x:c>
      <x:c r="I289" s="9" t="n">
        <x:v>62538678.31087728</x:v>
      </x:c>
      <x:c r="J289" s="8" t="n">
        <x:v>1.34</x:v>
      </x:c>
      <x:c r="K289" s="8" t="n">
        <x:v>13.0917473601864</x:v>
      </x:c>
      <x:c r="L289" s="8" t="n">
        <x:v>49.087050000000005</x:v>
      </x:c>
      <x:c r="M289" s="3" t="str">
        <x:v>Pulled from master workbook</x:v>
      </x:c>
    </x:row>
    <x:row r="290">
      <x:c r="A290" s="7" t="n">
        <x:v>45292</x:v>
      </x:c>
      <x:c r="B290" s="8" t="n">
        <x:v>86.73563050706824</x:v>
      </x:c>
      <x:c r="C290" s="8" t="n">
        <x:v>518.21</x:v>
      </x:c>
      <x:c r="D290" s="8" t="n">
        <x:v>815.93</x:v>
      </x:c>
      <x:c r="E290" s="8" t="n">
        <x:v>18.75</x:v>
      </x:c>
      <x:c r="F290" s="8" t="n">
        <x:v>1311.1363636363637</x:v>
      </x:c>
      <x:c r="G290" s="8" t="n">
        <x:v>82.18</x:v>
      </x:c>
      <x:c r="H290" s="9" t="n">
        <x:v>62561342.829536326</x:v>
      </x:c>
      <x:c r="I290" s="9" t="n">
        <x:v>76603230.2624463</x:v>
      </x:c>
      <x:c r="J290" s="8" t="n">
        <x:v>1.43</x:v>
      </x:c>
      <x:c r="K290" s="8" t="n">
        <x:v>13.03733485203</x:v>
      </x:c>
      <x:c r="L290" s="8" t="n">
        <x:v>48.5</x:v>
      </x:c>
      <x:c r="M290" s="3" t="str">
        <x:v>Pulled from master workbook</x:v>
      </x:c>
    </x:row>
    <x:row r="291">
      <x:c r="A291" s="7" t="n">
        <x:v>45323</x:v>
      </x:c>
      <x:c r="B291" s="8" t="n">
        <x:v>89.43951980870575</x:v>
      </x:c>
      <x:c r="C291" s="8" t="n">
        <x:v>529.47</x:v>
      </x:c>
      <x:c r="D291" s="8" t="n">
        <x:v>846.85</x:v>
      </x:c>
      <x:c r="E291" s="8" t="n">
        <x:v>22.75</x:v>
      </x:c>
      <x:c r="F291" s="8" t="n">
        <x:v>1505.3027619047618</x:v>
      </x:c>
      <x:c r="G291" s="8" t="n">
        <x:v>86.08</x:v>
      </x:c>
      <x:c r="H291" s="9" t="n">
        <x:v>64653384.88739274</x:v>
      </x:c>
      <x:c r="I291" s="9" t="n">
        <x:v>81323860.25639531</x:v>
      </x:c>
      <x:c r="J291" s="8" t="n">
        <x:v>1.32</x:v>
      </x:c>
      <x:c r="K291" s="8" t="n">
        <x:v>28.0991384065312</x:v>
      </x:c>
      <x:c r="L291" s="8" t="n">
        <x:v>39.2</x:v>
      </x:c>
      <x:c r="M291" s="3" t="str">
        <x:v>Pulled from master workbook</x:v>
      </x:c>
    </x:row>
    <x:row r="292">
      <x:c r="A292" s="7" t="n">
        <x:v>45352</x:v>
      </x:c>
      <x:c r="B292" s="8" t="n">
        <x:v>92.13972650759763</x:v>
      </x:c>
      <x:c r="C292" s="8" t="n">
        <x:v>542.91</x:v>
      </x:c>
      <x:c r="D292" s="8" t="n">
        <x:v>877.47</x:v>
      </x:c>
      <x:c r="E292" s="8" t="n">
        <x:v>24.75</x:v>
      </x:c>
      <x:c r="F292" s="8" t="n">
        <x:v>1511.34305</x:v>
      </x:c>
      <x:c r="G292" s="8" t="n">
        <x:v>88.8</x:v>
      </x:c>
      <x:c r="H292" s="9" t="n">
        <x:v>60104227.90807788</x:v>
      </x:c>
      <x:c r="I292" s="9" t="n">
        <x:v>71525744.81584184</x:v>
      </x:c>
      <x:c r="J292" s="8" t="n">
        <x:v>1.23</x:v>
      </x:c>
      <x:c r="K292" s="8" t="n">
        <x:v>17.0646576666951</x:v>
      </x:c>
      <x:c r="L292" s="8" t="n">
        <x:v>42.76804</x:v>
      </x:c>
      <x:c r="M292" s="3" t="str">
        <x:v>Pulled from master workbook</x:v>
      </x:c>
    </x:row>
    <x:row r="293">
      <x:c r="A293" s="7" t="n">
        <x:v>45383</x:v>
      </x:c>
      <x:c r="B293" s="8" t="n">
        <x:v>94.24683464570758</x:v>
      </x:c>
      <x:c r="C293" s="8" t="n">
        <x:v>554.83</x:v>
      </x:c>
      <x:c r="D293" s="8" t="n">
        <x:v>899.45</x:v>
      </x:c>
      <x:c r="E293" s="8" t="n">
        <x:v>24.75</x:v>
      </x:c>
      <x:c r="F293" s="8" t="n">
        <x:v>1237.057722222222</x:v>
      </x:c>
      <x:c r="G293" s="8" t="n">
        <x:v>93.12</x:v>
      </x:c>
      <x:c r="H293" s="9" t="n">
        <x:v>63693876.42383939</x:v>
      </x:c>
      <x:c r="I293" s="9" t="n">
        <x:v>73097556.38825348</x:v>
      </x:c>
      <x:c r="J293" s="8" t="n">
        <x:v>1.28</x:v>
      </x:c>
      <x:c r="K293" s="8" t="n">
        <x:v>14.3958928194333</x:v>
      </x:c>
      <x:c r="L293" s="8" t="n">
        <x:v>49.2</x:v>
      </x:c>
      <x:c r="M293" s="3" t="str">
        <x:v>Pulled from master workbook</x:v>
      </x:c>
    </x:row>
    <x:row r="294">
      <x:c r="A294" s="7" t="n">
        <x:v>45413</x:v>
      </x:c>
      <x:c r="B294" s="8" t="n">
        <x:v>96.26267865930754</x:v>
      </x:c>
      <x:c r="C294" s="8" t="n">
        <x:v>565.99</x:v>
      </x:c>
      <x:c r="D294" s="8" t="n">
        <x:v>920.01</x:v>
      </x:c>
      <x:c r="E294" s="8" t="n">
        <x:v>26.25</x:v>
      </x:c>
      <x:c r="F294" s="8" t="n">
        <x:v>1436.0676818181817</x:v>
      </x:c>
      <x:c r="G294" s="8" t="n">
        <x:v>84.01</x:v>
      </x:c>
      <x:c r="H294" s="9" t="n">
        <x:v>66046272.151822634</x:v>
      </x:c>
      <x:c r="I294" s="9" t="n">
        <x:v>74388205.06278841</x:v>
      </x:c>
      <x:c r="J294" s="8" t="n">
        <x:v>1.25</x:v>
      </x:c>
      <x:c r="K294" s="8" t="n">
        <x:v>16.6767179173308</x:v>
      </x:c>
      <x:c r="L294" s="8" t="n">
        <x:v>46</x:v>
      </x:c>
      <x:c r="M294" s="3" t="str">
        <x:v>Pulled from master workbook</x:v>
      </x:c>
    </x:row>
    <x:row r="295">
      <x:c r="A295" s="7" t="n">
        <x:v>45444</x:v>
      </x:c>
      <x:c r="B295" s="8" t="n">
        <x:v>98.48672969159503</x:v>
      </x:c>
      <x:c r="C295" s="8" t="n">
        <x:v>577.64</x:v>
      </x:c>
      <x:c r="D295" s="8" t="n">
        <x:v>943.46</x:v>
      </x:c>
      <x:c r="E295" s="8" t="n">
        <x:v>26.25</x:v>
      </x:c>
      <x:c r="F295" s="8" t="n">
        <x:v>1482.2662352941177</x:v>
      </x:c>
      <x:c r="G295" s="8" t="n">
        <x:v>83.64</x:v>
      </x:c>
      <x:c r="H295" s="9" t="n">
        <x:v>65177277.456452996</x:v>
      </x:c>
      <x:c r="I295" s="9" t="n">
        <x:v>72848176.88433613</x:v>
      </x:c>
      <x:c r="J295" s="8" t="n">
        <x:v>1.28</x:v>
      </x:c>
      <x:c r="K295" s="8" t="n">
        <x:v>16.245937191091</x:v>
      </x:c>
      <x:c r="L295" s="8" t="n">
        <x:v>48.84737161693269</x:v>
      </x:c>
      <x:c r="M295" s="3" t="str">
        <x:v>Pulled from master workbook</x:v>
      </x:c>
    </x:row>
    <x:row r="296">
      <x:c r="A296" s="7" t="n">
        <x:v>45474</x:v>
      </x:c>
      <x:c r="B296" s="8" t="n">
        <x:v>100.72791983903397</x:v>
      </x:c>
      <x:c r="C296" s="8" t="n">
        <x:v>590.12</x:v>
      </x:c>
      <x:c r="D296" s="8" t="n">
        <x:v>966.78</x:v>
      </x:c>
      <x:c r="E296" s="8" t="n">
        <x:v>26.75</x:v>
      </x:c>
      <x:c r="F296" s="8" t="n">
        <x:v>1560.224652173913</x:v>
      </x:c>
      <x:c r="G296" s="8" t="n">
        <x:v>87.28</x:v>
      </x:c>
      <x:c r="H296" s="9" t="n">
        <x:v>71376158.07958369</x:v>
      </x:c>
      <x:c r="I296" s="9" t="n">
        <x:v>75165019.30701962</x:v>
      </x:c>
      <x:c r="J296" s="8" t="n">
        <x:v>1.31</x:v>
      </x:c>
      <x:c r="K296" s="8" t="n">
        <x:v>18.1984613775518</x:v>
      </x:c>
      <x:c r="L296" s="8" t="n">
        <x:v>49.65537257563742</x:v>
      </x:c>
      <x:c r="M296" s="3" t="str">
        <x:v>Pulled from master workbook</x:v>
      </x:c>
    </x:row>
    <x:row r="297">
      <x:c r="A297" s="7" t="n">
        <x:v>45505</x:v>
      </x:c>
      <x:c r="B297" s="8" t="n">
        <x:v>102.95987446732977</x:v>
      </x:c>
      <x:c r="C297" s="8" t="n">
        <x:v>603.52</x:v>
      </x:c>
      <x:c r="D297" s="8" t="n">
        <x:v>989.69</x:v>
      </x:c>
      <x:c r="E297" s="8" t="n">
        <x:v>26.75</x:v>
      </x:c>
      <x:c r="F297" s="8" t="n">
        <x:v>1587.3943636363636</x:v>
      </x:c>
      <x:c r="G297" s="8" t="n">
        <x:v>82.88</x:v>
      </x:c>
      <x:c r="H297" s="9" t="n">
        <x:v>72382547.92952675</x:v>
      </x:c>
      <x:c r="I297" s="9" t="n">
        <x:v>74360932.80005367</x:v>
      </x:c>
      <x:c r="J297" s="8" t="n">
        <x:v>1.35</x:v>
      </x:c>
      <x:c r="K297" s="8" t="n">
        <x:v>17.5768622552243</x:v>
      </x:c>
      <x:c r="L297" s="8" t="n">
        <x:v>50.21492537313432</x:v>
      </x:c>
      <x:c r="M297" s="3" t="str">
        <x:v>Pulled from master workbook</x:v>
      </x:c>
    </x:row>
    <x:row r="298">
      <x:c r="A298" s="7" t="n">
        <x:v>45536</x:v>
      </x:c>
      <x:c r="B298" s="8" t="n">
        <x:v>105.55391532723011</x:v>
      </x:c>
      <x:c r="C298" s="8" t="n">
        <x:v>616.18</x:v>
      </x:c>
      <x:c r="D298" s="8" t="n">
        <x:v>1015.81</x:v>
      </x:c>
      <x:c r="E298" s="8" t="n">
        <x:v>27.25</x:v>
      </x:c>
      <x:c r="F298" s="8" t="n">
        <x:v>1666.125</x:v>
      </x:c>
      <x:c r="G298" s="8" t="n">
        <x:v>76.05</x:v>
      </x:c>
      <x:c r="H298" s="9" t="n">
        <x:v>73532662.80844925</x:v>
      </x:c>
      <x:c r="I298" s="9" t="n">
        <x:v>75439837.3444663</x:v>
      </x:c>
      <x:c r="J298" s="8" t="n">
        <x:v>1.32</x:v>
      </x:c>
      <x:c r="K298" s="8" t="n">
        <x:v>18.2325863821753</x:v>
      </x:c>
      <x:c r="L298" s="8" t="n">
        <x:v>50.54834959638551</x:v>
      </x:c>
      <x:c r="M298" s="3" t="str">
        <x:v>Pulled from master workbook</x:v>
      </x:c>
    </x:row>
    <x:row r="299">
      <x:c r="A299" s="7" t="n">
        <x:v>45566</x:v>
      </x:c>
      <x:c r="B299" s="8" t="n">
        <x:v>108.34013341317318</x:v>
      </x:c>
      <x:c r="C299" s="8" t="n">
        <x:v>629.37</x:v>
      </x:c>
      <x:c r="D299" s="8" t="n">
        <x:v>1045.67</x:v>
      </x:c>
      <x:c r="E299" s="8" t="n">
        <x:v>27.25</x:v>
      </x:c>
      <x:c r="F299" s="8" t="n">
        <x:v>1711.1818181818182</x:v>
      </x:c>
      <x:c r="G299" s="8" t="n">
        <x:v>76.69</x:v>
      </x:c>
      <x:c r="H299" s="9" t="n">
        <x:v>73204528.58406031</x:v>
      </x:c>
      <x:c r="I299" s="9" t="n">
        <x:v>73728691.94237879</x:v>
      </x:c>
      <x:c r="J299" s="8" t="n">
        <x:v>1.33</x:v>
      </x:c>
      <x:c r="K299" s="8" t="n">
        <x:v>16.8604591349395</x:v>
      </x:c>
      <x:c r="L299" s="8" t="n">
        <x:v>49.63492532275757</x:v>
      </x:c>
      <x:c r="M299" s="3" t="str">
        <x:v>Pulled from master workbook</x:v>
      </x:c>
    </x:row>
    <x:row r="300">
      <x:c r="A300" s="7" t="n">
        <x:v>45597</x:v>
      </x:c>
      <x:c r="B300" s="8" t="n">
        <x:v>111.19825429136468</x:v>
      </x:c>
      <x:c r="C300" s="8" t="n">
        <x:v>640.89</x:v>
      </x:c>
      <x:c r="D300" s="8" t="n">
        <x:v>1076.83</x:v>
      </x:c>
      <x:c r="E300" s="8" t="n">
        <x:v>27.5</x:v>
      </x:c>
      <x:c r="F300" s="8" t="n">
        <x:v>1736.3333333333333</x:v>
      </x:c>
      <x:c r="G300" s="8" t="n">
        <x:v>76.69</x:v>
      </x:c>
      <x:c r="H300" s="9" t="n">
        <x:v>72721847.6601609</x:v>
      </x:c>
      <x:c r="I300" s="9" t="n">
        <x:v>75614976.48184252</x:v>
      </x:c>
      <x:c r="J300" s="8" t="n">
        <x:v>1.33</x:v>
      </x:c>
      <x:c r="K300" s="8" t="n">
        <x:v>12.7953891657168</x:v>
      </x:c>
      <x:c r="L300" s="8" t="n">
        <x:v>48.9</x:v>
      </x:c>
      <x:c r="M300" s="3" t="str">
        <x:v>Pulled from master workbook</x:v>
      </x:c>
    </x:row>
    <x:row r="301">
      <x:c r="A301" s="7" t="n">
        <x:v>45627</x:v>
      </x:c>
      <x:c r="B301" s="8" t="n">
        <x:v>113.90878284188669</x:v>
      </x:c>
      <x:c r="C301" s="8" t="n">
        <x:v>655.25</x:v>
      </x:c>
      <x:c r="D301" s="8" t="n">
        <x:v>1105.47</x:v>
      </x:c>
      <x:c r="E301" s="8" t="n">
        <x:v>27.5</x:v>
      </x:c>
      <x:c r="F301" s="8" t="n">
        <x:v>1660.15</x:v>
      </x:c>
      <x:c r="G301" s="8" t="n">
        <x:v>74.44</x:v>
      </x:c>
      <x:c r="H301" s="9" t="n">
        <x:v>74523601.39078325</x:v>
      </x:c>
      <x:c r="I301" s="9" t="n">
        <x:v>78022458.59774232</x:v>
      </x:c>
      <x:c r="J301" s="8" t="n">
        <x:v>1.49</x:v>
      </x:c>
      <x:c r="K301" s="8" t="n">
        <x:v>14.2483494531924</x:v>
      </x:c>
      <x:c r="L301" s="8" t="n">
        <x:v>51</x:v>
      </x:c>
      <x:c r="M301" s="3" t="str">
        <x:v>Pulled from master workbook</x:v>
      </x:c>
    </x:row>
    <x:row r="302">
      <x:c r="A302" s="7" t="n">
        <x:v>45658</x:v>
      </x:c>
      <x:c r="B302" s="8" t="n">
        <x:v>110.68</x:v>
      </x:c>
      <x:c r="C302" s="8" t="n">
        <x:v>110.87</x:v>
      </x:c>
      <x:c r="D302" s="8" t="n">
        <x:v>110.33</x:v>
      </x:c>
      <x:c r="E302" s="8" t="n">
        <x:v>27.5</x:v>
      </x:c>
      <x:c r="F302" s="8" t="n">
        <x:v>1652.409090909091</x:v>
      </x:c>
      <x:c r="G302" s="8" t="n">
        <x:v>74.72</x:v>
      </x:c>
      <x:c r="H302" s="9" t="n">
        <x:v>74169537.80270103</x:v>
      </x:c>
      <x:c r="I302" s="9" t="n">
        <x:v>77019696.9917441</x:v>
      </x:c>
      <x:c r="J302" s="8" t="n">
        <x:v>1.48</x:v>
      </x:c>
      <x:c r="K302" s="8" t="n">
        <x:v>14.7726101831965</x:v>
      </x:c>
      <x:c r="L302" s="8" t="n">
        <x:v>50.2</x:v>
      </x:c>
      <x:c r="M302" s="3" t="str">
        <x:v>Pulled from master workbook</x:v>
      </x:c>
    </x:row>
    <x:row r="303">
      <x:c r="A303" s="7" t="n">
        <x:v>45689</x:v>
      </x:c>
      <x:c r="B303" s="8" t="n">
        <x:v>112.93923</x:v>
      </x:c>
      <x:c r="C303" s="8" t="n">
        <x:v>113.66</x:v>
      </x:c>
      <x:c r="D303" s="8" t="n">
        <x:v>112.18</x:v>
      </x:c>
      <x:c r="E303" s="8" t="n">
        <x:v>27.5</x:v>
      </x:c>
      <x:c r="F303" s="8" t="n">
        <x:v>1542.5263157894738</x:v>
      </x:c>
      <x:c r="G303" s="8" t="n">
        <x:v>77.08</x:v>
      </x:c>
      <x:c r="H303" s="9" t="n">
        <x:v>72986567.0858374</x:v>
      </x:c>
      <x:c r="I303" s="9" t="n">
        <x:v>75898401.1711119</x:v>
      </x:c>
      <x:c r="J303" s="8" t="n">
        <x:v>1.47</x:v>
      </x:c>
      <x:c r="K303" s="8" t="n">
        <x:v>11.512408052102</x:v>
      </x:c>
      <x:c r="L303" s="8" t="n">
        <x:v>51.4</x:v>
      </x:c>
      <x:c r="M303" s="3" t="str">
        <x:v>Pulled from master workbook</x:v>
      </x:c>
    </x:row>
    <x:row r="304">
      <x:c r="A304" s="7" t="n">
        <x:v>45717</x:v>
      </x:c>
      <x:c r="B304" s="8" t="n">
        <x:v>117.34</x:v>
      </x:c>
      <x:c r="C304" s="8" t="n">
        <x:v>117.9</x:v>
      </x:c>
      <x:c r="D304" s="8" t="n">
        <x:v>114.62</x:v>
      </x:c>
      <x:c r="E304" s="8" t="n">
        <x:v>27.5</x:v>
      </x:c>
      <x:c r="F304" s="8" t="n">
        <x:v>1564.85</x:v>
      </x:c>
      <x:c r="G304" s="8" t="n">
        <x:v>74.55</x:v>
      </x:c>
      <x:c r="H304" s="9" t="n">
        <x:v>75814189.74546558</x:v>
      </x:c>
      <x:c r="I304" s="9" t="n">
        <x:v>75955413.59717974</x:v>
      </x:c>
      <x:c r="J304" s="8" t="n">
        <x:v>1.4</x:v>
      </x:c>
      <x:c r="K304" s="8" t="n">
        <x:v>9.95632929502933</x:v>
      </x:c>
      <x:c r="L304" s="8" t="n">
        <x:v>52.3</x:v>
      </x:c>
      <x:c r="M304" s="3" t="str">
        <x:v>Pulled from master workbook</x:v>
      </x:c>
    </x:row>
    <x:row r="305">
      <x:c r="A305" s="7" t="n">
        <x:v>45748</x:v>
      </x:c>
      <x:c r="B305" s="8" t="n">
        <x:v>119.52</x:v>
      </x:c>
      <x:c r="C305" s="8" t="n">
        <x:v>119.47</x:v>
      </x:c>
      <x:c r="D305" s="8" t="n">
        <x:v>116.98</x:v>
      </x:c>
      <x:c r="E305" s="8" t="n">
        <x:v>27.5</x:v>
      </x:c>
      <x:c r="F305" s="8" t="n">
        <x:v>1599.9736842105262</x:v>
      </x:c>
      <x:c r="G305" s="8" t="n">
        <x:v>69.07</x:v>
      </x:c>
      <x:c r="H305" s="9" t="n">
        <x:v>78218934.97872236</x:v>
      </x:c>
      <x:c r="I305" s="9" t="n">
        <x:v>78067728.99939181</x:v>
      </x:c>
      <x:c r="J305" s="8" t="n">
        <x:v>1.49</x:v>
      </x:c>
      <x:c r="K305" s="8" t="n">
        <x:v>10.3222086363157</x:v>
      </x:c>
      <x:c r="L305" s="8" t="n">
        <x:v>52.2</x:v>
      </x:c>
      <x:c r="M305" s="3" t="str">
        <x:v>Pulled from master workbook</x:v>
      </x:c>
    </x:row>
    <x:row r="306">
      <x:c r="A306" s="7" t="n">
        <x:v>45778</x:v>
      </x:c>
      <x:c r="B306" s="8" t="n">
        <x:v>121.35</x:v>
      </x:c>
      <x:c r="C306" s="8" t="n">
        <x:v>121.77</x:v>
      </x:c>
      <x:c r="D306" s="8" t="n">
        <x:v>119.52</x:v>
      </x:c>
      <x:c r="E306" s="8" t="n">
        <x:v>27.5</x:v>
      </x:c>
      <x:c r="F306" s="8" t="n">
        <x:v>1620.3809523809523</x:v>
      </x:c>
      <x:c r="G306" s="8" t="n">
        <x:v>65.90368</x:v>
      </x:c>
      <x:c r="H306" s="9" t="n">
        <x:v>78679155.04788491</x:v>
      </x:c>
      <x:c r="I306" s="9" t="n">
        <x:v>77967127.84796143</x:v>
      </x:c>
      <x:c r="J306" s="8" t="n">
        <x:v>1.45294</x:v>
      </x:c>
      <x:c r="K306" s="8" t="n">
        <x:v>11.2172280946922</x:v>
      </x:c>
      <x:c r="L306" s="8" t="n">
        <x:v>52.1</x:v>
      </x:c>
      <x:c r="M306" s="3" t="str">
        <x:v>Pulled from master workbook</x:v>
      </x:c>
    </x:row>
    <x:row r="307">
      <x:c r="A307" s="7" t="n">
        <x:v>45809</x:v>
      </x:c>
      <x:c r="B307" s="8" t="n">
        <x:v>123.390735</x:v>
      </x:c>
      <x:c r="C307" s="8" t="n">
        <x:v>123.4</x:v>
      </x:c>
      <x:c r="D307" s="8" t="n">
        <x:v>120.67</x:v>
      </x:c>
      <x:c r="E307" s="8" t="n">
        <x:v>27.5</x:v>
      </x:c>
      <x:c r="F307" s="8" t="n">
        <x:v>1596.611111111111</x:v>
      </x:c>
      <x:c r="G307" s="8" t="n">
        <x:v>73.49857</x:v>
      </x:c>
      <x:c r="H307" s="9" t="n">
        <x:v>77375835.56682548</x:v>
      </x:c>
      <x:c r="I307" s="9" t="n">
        <x:v>76125855.6851674</x:v>
      </x:c>
      <x:c r="J307" s="8" t="n">
        <x:v>1.50547</x:v>
      </x:c>
      <x:c r="K307" s="8" t="n">
        <x:v>11.0582292146493</x:v>
      </x:c>
      <x:c r="L307" s="8" t="n">
        <x:v>52.3</x:v>
      </x:c>
      <x:c r="M307" s="3" t="str">
        <x:v>Pulled from master workbook</x:v>
      </x:c>
    </x:row>
    <x:row r="308">
      <x:c r="A308" s="7" t="n">
        <x:v>45839</x:v>
      </x:c>
      <x:c r="B308" s="8" t="n">
        <x:v>125.85</x:v>
      </x:c>
      <x:c r="C308" s="8" t="n">
        <x:v>125.22</x:v>
      </x:c>
      <x:c r="D308" s="8" t="n">
        <x:v>122.74</x:v>
      </x:c>
      <x:c r="E308" s="8" t="n">
        <x:v>27.5</x:v>
      </x:c>
      <x:c r="F308" s="8" t="n">
        <x:v>1544.6363636363637</x:v>
      </x:c>
      <x:c r="G308" s="8" t="n">
        <x:v>73.18</x:v>
      </x:c>
      <x:c r="H308" s="9" t="n">
        <x:v>80023582.66184177</x:v>
      </x:c>
      <x:c r="I308" s="9" t="n">
        <x:v>76723215.73218867</x:v>
      </x:c>
      <x:c r="J308" s="8" t="n">
        <x:v>1.51</x:v>
      </x:c>
      <x:c r="K308" s="8" t="n">
        <x:v>9.19999355337459</x:v>
      </x:c>
      <x:c r="L308" s="8" t="n">
        <x:v>52.7</x:v>
      </x:c>
      <x:c r="M308" s="3" t="str">
        <x:v>Pulled from master workbook</x:v>
      </x:c>
    </x:row>
    <x:row r="309">
      <x:c r="A309" s="7" t="n">
        <x:v>45870</x:v>
      </x:c>
      <x:c r="B309" s="8" t="n">
        <x:v>126.78649</x:v>
      </x:c>
      <x:c r="C309" s="8" t="n">
        <x:v>126.13</x:v>
      </x:c>
      <x:c r="D309" s="8" t="n">
        <x:v>124.74</x:v>
      </x:c>
      <x:c r="E309" s="8" t="n">
        <x:v>27.5</x:v>
      </x:c>
      <x:c r="F309" s="8" t="n">
        <x:v>1549.6315789473683</x:v>
      </x:c>
      <x:c r="G309" s="8" t="n">
        <x:v>70.55</x:v>
      </x:c>
      <x:c r="H309" s="9" t="n">
        <x:v>80297485.47920026</x:v>
      </x:c>
      <x:c r="I309" s="9" t="n">
        <x:v>75882138.64746593</x:v>
      </x:c>
      <x:c r="J309" s="8" t="n">
        <x:v>1.43</x:v>
      </x:c>
      <x:c r="K309" s="8" t="n">
        <x:v>9.00826067325349</x:v>
      </x:c>
      <x:c r="L309" s="8" t="n">
        <x:v>51.7</x:v>
      </x:c>
      <x:c r="M309" s="3" t="str">
        <x:v>Pulled from master workbook</x:v>
      </x:c>
    </x:row>
    <x:row r="310">
      <x:c r="A310" s="7" t="n">
        <x:v>45901</x:v>
      </x:c>
      <x:c r="B310" s="8" t="n">
        <x:v>127.7</x:v>
      </x:c>
      <x:c r="C310" s="8" t="n">
        <x:v>127.42</x:v>
      </x:c>
      <x:c r="D310" s="8" t="n">
        <x:v>126.19</x:v>
      </x:c>
      <x:c r="E310" s="8" t="n">
        <x:v>27</x:v>
      </x:c>
      <x:c r="F310" s="8" t="n">
        <x:v>1518.6666666666667</x:v>
      </x:c>
      <x:c r="G310" s="8" t="n">
        <x:v>70.2</x:v>
      </x:c>
      <x:c r="H310" s="9" t="n">
        <x:v>78666329.97573078</x:v>
      </x:c>
      <x:c r="I310" s="9" t="n">
        <x:v>72502128.01721366</x:v>
      </x:c>
      <x:c r="J310" s="8" t="n">
        <x:v>1.39</x:v>
      </x:c>
      <x:c r="K310" s="8" t="n">
        <x:v>11.5812541948554</x:v>
      </x:c>
      <x:c r="L310" s="8" t="n">
        <x:v>54</x:v>
      </x:c>
      <x:c r="M310" s="3" t="str">
        <x:v>Pulled from master workbook</x:v>
      </x:c>
    </x:row>
    <x:row r="311">
      <x:c r="A311" s="7" t="n">
        <x:v>45931</x:v>
      </x:c>
      <x:c r="B311" s="8" t="n">
        <x:v>128.89</x:v>
      </x:c>
      <x:c r="C311" s="8" t="n">
        <x:v>128.4</x:v>
      </x:c>
      <x:c r="D311" s="8" t="n">
        <x:v>127.26</x:v>
      </x:c>
      <x:c r="E311" s="8" t="n">
        <x:v>27</x:v>
      </x:c>
      <x:c r="F311" s="8" t="n">
        <x:v>1483.6363636363637</x:v>
      </x:c>
      <x:c r="G311" s="8" t="n">
        <x:v>66.15</x:v>
      </x:c>
      <x:c r="H311" s="9" t="n">
        <x:v>79907890.50868098</x:v>
      </x:c>
      <x:c r="I311" s="9" t="n">
        <x:v>74942737.82579681</x:v>
      </x:c>
      <x:c r="J311" s="8" t="n">
        <x:v>1.4</x:v>
      </x:c>
      <x:c r="K311" s="8" t="n">
        <x:v>12.0071121833546</x:v>
      </x:c>
      <x:c r="L311" s="8" t="n">
        <x:v>55.4</x:v>
      </x:c>
      <x:c r="M311" s="3" t="str">
        <x:v>Pulled from master workbook</x:v>
      </x:c>
    </x:row>
    <x:row r="312">
      <x:c r="A312" s="7" t="n">
        <x:v>45962</x:v>
      </x:c>
      <x:c r="B312" s="8" t="n">
        <x:v>130.466156</x:v>
      </x:c>
      <x:c r="C312" s="8" t="n">
        <x:v>129.32</x:v>
      </x:c>
      <x:c r="D312" s="8" t="n">
        <x:v>128.26</x:v>
      </x:c>
      <x:c r="E312" s="8" t="n">
        <x:v>27</x:v>
      </x:c>
      <x:c r="F312" s="8" t="n">
        <x:v>1459.95</x:v>
      </x:c>
      <x:c r="G312" s="8" t="n">
        <x:v>65.22</x:v>
      </x:c>
      <x:c r="H312" s="9" t="n">
        <x:v>82467624.1373111</x:v>
      </x:c>
      <x:c r="I312" s="9" t="n">
        <x:v>74830195.08602837</x:v>
      </x:c>
      <x:c r="J312" s="8" t="n">
        <x:v>1.599</x:v>
      </x:c>
      <x:c r="K312" s="8" t="n">
        <x:v>9.35165418062264</x:v>
      </x:c>
      <x:c r="L312" s="8" t="n">
        <x:v>56.4</x:v>
      </x:c>
      <x:c r="M312" s="3" t="str">
        <x:v>Pulled from master workbook</x:v>
      </x:c>
    </x:row>
    <x:row r="313">
      <x:c r="A313" s="7" t="n">
        <x:v>45992</x:v>
      </x:c>
      <x:c r="B313" s="8" t="n">
        <x:v>131.166592</x:v>
      </x:c>
      <x:c r="C313" s="8" t="n">
        <x:v>130.5</x:v>
      </x:c>
      <x:c r="D313" s="8" t="n">
        <x:v>129.65</x:v>
      </x:c>
      <x:c r="E313" s="8" t="n">
        <x:v>27</x:v>
      </x:c>
      <x:c r="F313" s="8" t="n">
        <x:v>1483.6190476190477</x:v>
      </x:c>
      <x:c r="G313" s="8" t="n">
        <x:v>64.09</x:v>
      </x:c>
      <x:c r="H313" s="9" t="n">
        <x:v>82762917.68707632</x:v>
      </x:c>
      <x:c r="I313" s="9" t="n">
        <x:v>94215935.71709284</x:v>
      </x:c>
      <x:c r="J313" s="8" t="n">
        <x:v>1.544</x:v>
      </x:c>
      <x:c r="K313" s="8" t="n">
        <x:v>10.2449052572066</x:v>
      </x:c>
      <x:c r="L313" s="8" t="n">
        <x:v>57.6</x:v>
      </x:c>
      <x:c r="M313" s="3" t="str">
        <x:v>Pulled from master workbook</x:v>
      </x:c>
    </x:row>
    <x:row r="314">
      <x:c r="A314" s="7" t="n">
        <x:v>46023</x:v>
      </x:c>
      <x:c r="B314" s="8" t="n">
        <x:v>132.5</x:v>
      </x:c>
      <x:c r="C314" s="8" t="n">
        <x:v>130.52</x:v>
      </x:c>
      <x:c r="D314" s="8" t="n">
        <x:v>120.14</x:v>
      </x:c>
      <x:c r="E314" s="8" t="n">
        <x:v>27</x:v>
      </x:c>
      <x:c r="F314" s="8" t="n">
        <x:v>1486.5714285714287</x:v>
      </x:c>
      <x:c r="G314" s="8" t="n">
        <x:v>68.05</x:v>
      </x:c>
      <x:c r="H314" s="9" t="n">
        <x:v>81070069.01961678</x:v>
      </x:c>
      <x:c r="I314" s="9" t="n">
        <x:v>93743888.52264148</x:v>
      </x:c>
      <x:c r="J314" s="8" t="n">
        <x:v>1.46</x:v>
      </x:c>
      <x:c r="K314" s="8" t="n">
        <x:v>10.8296685168395</x:v>
      </x:c>
      <x:c r="L314" s="8" t="n">
        <x:v>55.7</x:v>
      </x:c>
      <x:c r="M314" s="3" t="str">
        <x:v>Pulled from master workbook</x:v>
      </x:c>
    </x:row>
    <x:row r="315">
      <x:c r="A315" s="7" t="n">
        <x:v>46054</x:v>
      </x:c>
      <x:c r="B315" s="8" t="n">
        <x:v>135.2</x:v>
      </x:c>
      <x:c r="C315" s="8" t="n">
        <x:v>131.71</x:v>
      </x:c>
      <x:c r="D315" s="8" t="n">
        <x:v>125.78</x:v>
      </x:c>
      <x:c r="E315" s="8" t="n">
        <x:v>26.5</x:v>
      </x:c>
      <x:c r="F315" s="8" t="n">
        <x:v>1403.4</x:v>
      </x:c>
      <x:c r="G315" s="8" t="n">
        <x:v>72.33</x:v>
      </x:c>
      <x:c r="H315" s="9" t="n">
        <x:v>79570432.44408906</x:v>
      </x:c>
      <x:c r="I315" s="9" t="n">
        <x:v>94610065.39632565</x:v>
      </x:c>
      <x:c r="J315" s="8" t="n">
        <x:v>1.31</x:v>
      </x:c>
      <x:c r="K315" s="8" t="n">
        <x:v>8.94878630811544</x:v>
      </x:c>
      <x:c r="L315" s="8" t="n">
        <x:v>56.4</x:v>
      </x:c>
      <x:c r="M315" s="3" t="str">
        <x:v>Pulled from master workbook</x:v>
      </x:c>
    </x:row>
    <x:row r="316">
      <x:c r="A316" s="7" t="n">
        <x:v>46082</x:v>
      </x:c>
      <x:c r="B316" s="8" t="n">
        <x:v>140.8</x:v>
      </x:c>
      <x:c r="C316" s="8" t="n">
        <x:v>137.01</x:v>
      </x:c>
      <x:c r="D316" s="8" t="n">
        <x:v>131.02</x:v>
      </x:c>
      <x:c r="E316" s="8" t="n">
        <x:v>26.5</x:v>
      </x:c>
      <x:c r="F316" s="8" t="n">
        <x:v>1409.275</x:v>
      </x:c>
      <x:c r="G316" s="8" t="n">
        <x:v>106.09</x:v>
      </x:c>
      <x:c r="H316" s="9" t="n">
        <x:v>79906382.12669629</x:v>
      </x:c>
      <x:c r="I316" s="9" t="n">
        <x:v>80167745.76493348</x:v>
      </x:c>
      <x:c r="J316" s="8" t="n">
        <x:v>1.38</x:v>
      </x:c>
      <x:c r="K316" s="8" t="n">
        <x:v>13.7957154334002</x:v>
      </x:c>
      <x:c r="L316" s="8" t="n">
        <x:v>53.2</x:v>
      </x:c>
      <x:c r="M316" s="3" t="str">
        <x:v>Pulled from master workbook</x:v>
      </x:c>
    </x:row>
    <x:row r="317">
      <x:c r="A317" s="7" t="n">
        <x:v>46113</x:v>
      </x:c>
      <x:c r="B317" s="8" t="n">
        <x:v>143.8</x:v>
      </x:c>
      <x:c r="C317" s="8" t="n">
        <x:v>138.42</x:v>
      </x:c>
      <x:c r="D317" s="8" t="n">
        <x:v>135.77</x:v>
      </x:c>
      <x:c r="E317" s="8" t="n">
        <x:v>26.5</x:v>
      </x:c>
      <x:c r="F317" s="8" t="n">
        <x:v>1394.8</x:v>
      </x:c>
      <x:c r="G317" s="8" t="n">
        <x:v>126.71</x:v>
      </x:c>
      <x:c r="H317" s="9" t="n">
        <x:v>81364659.3891355</x:v>
      </x:c>
      <x:c r="I317" s="9" t="n">
        <x:v>80585296.57171103</x:v>
      </x:c>
      <x:c r="J317" s="8" t="n">
        <x:v>1.49</x:v>
      </x:c>
      <x:c r="K317" s="8" t="n">
        <x:v>13.1756156172618</x:v>
      </x:c>
      <x:c r="L317" s="8" t="n">
        <x:v>49.4</x:v>
      </x:c>
      <x:c r="M317" s="3" t="str">
        <x:v>Pulled from master workbook</x:v>
      </x:c>
    </x:row>
    <x:row r="318">
      <x:c r="A318" s="7" t="n">
        <x:v>46143</x:v>
      </x:c>
      <x:c r="B318" s="8" t="n">
        <x:v>144.9</x:v>
      </x:c>
      <x:c r="C318" s="8" t="n">
        <x:v>142.25</x:v>
      </x:c>
      <x:c r="D318" s="8" t="n">
        <x:v>139.79</x:v>
      </x:c>
      <x:c r="E318" s="8" t="n">
        <x:v>26.5</x:v>
      </x:c>
      <x:c r="F318" s="8" t="n">
        <x:v>1388.8889</x:v>
      </x:c>
      <x:c r="G318" s="8" t="n">
        <x:v>113.62</x:v>
      </x:c>
      <x:c r="H318" s="9" t="n">
        <x:v>84716578.3524549</x:v>
      </x:c>
      <x:c r="I318" s="9" t="n">
        <x:v>81201466.69</x:v>
      </x:c>
      <x:c r="J318" s="8" t="n">
        <x:v>1.53</x:v>
      </x:c>
      <x:c r="K318" s="8" t="n">
        <x:v>12.9020549249237</x:v>
      </x:c>
      <x:c r="L318" s="8" t="n">
        <x:v>49.6</x:v>
      </x:c>
      <x:c r="M318" s="3" t="str">
        <x:v>Pulled from master workbook</x:v>
      </x:c>
    </x:row>
    <x:row r="319">
      <x:c r="A319" s="7" t="n">
        <x:v>46174</x:v>
      </x:c>
      <x:c r="B319" s="8" t="n">
        <x:v>143</x:v>
      </x:c>
      <x:c r="C319" s="8" t="n">
        <x:v>143.05</x:v>
      </x:c>
      <x:c r="D319" s="8" t="n">
        <x:v>141.81</x:v>
      </x:c>
      <x:c r="E319" s="8" t="n">
        <x:v>26.5</x:v>
      </x:c>
      <x:c r="F319" s="8" t="n">
        <x:v>1392.48</x:v>
      </x:c>
      <x:c r="G319" s="8" t="n">
        <x:v>87.61</x:v>
      </x:c>
      <x:c r="H319" s="9" t="n">
        <x:v>88547613.88541944</x:v>
      </x:c>
      <x:c r="I319" s="9" t="n">
        <x:v>83256687.36</x:v>
      </x:c>
      <x:c r="J319" s="8" t="n">
        <x:v>1.56</x:v>
      </x:c>
      <x:c r="K319" s="8" t="n">
        <x:v>11.6769420510092</x:v>
      </x:c>
      <x:c r="L319" s="8" t="n">
        <x:v>50.1</x:v>
      </x:c>
      <x:c r="M319" s="3" t="str">
        <x:v>Pulled from master workbook</x:v>
      </x:c>
    </x:row>
    <x:row r="320">
      <x:c r="A320" s="7" t="n">
        <x:v>46204</x:v>
      </x:c>
      <x:c r="B320" s="8" t="n">
        <x:v>145.3</x:v>
      </x:c>
      <x:c r="C320" s="8" t="n">
        <x:v>143.97</x:v>
      </x:c>
      <x:c r="D320" s="8" t="n">
        <x:v>147.67</x:v>
      </x:c>
      <x:c r="E320" s="8" t="n">
        <x:v>26.5</x:v>
      </x:c>
      <x:c r="F320" s="8" t="n">
        <x:v>1407.52</x:v>
      </x:c>
      <x:c r="G320" s="8" t="n">
        <x:v>84.87</x:v>
      </x:c>
      <x:c r="H320" s="9" t="n">
        <x:v>95090698.41733825</x:v>
      </x:c>
      <x:c r="I320" s="9" t="n">
        <x:v>83256687.36</x:v>
      </x:c>
      <x:c r="J320" s="8" t="n">
        <x:v>1.51</x:v>
      </x:c>
      <x:c r="K320" s="8" t="n">
        <x:v>11.0550046849951</x:v>
      </x:c>
      <x:c r="L320" s="8" t="n">
        <x:v>51.1</x:v>
      </x:c>
      <x:c r="M320" s="3" t="str">
        <x:v>Pulled from master workbook</x:v>
      </x:c>
    </x:row>
    <x:row r="321">
      <x:c r="A321" s="7" t="n">
        <x:v>46235</x:v>
      </x:c>
      <x:c r="B321" s="8"/>
      <x:c r="C321" s="8"/>
      <x:c r="D321" s="8"/>
      <x:c r="E321" s="8"/>
      <x:c r="F321" s="8"/>
      <x:c r="G321" s="8"/>
      <x:c r="H321" s="9"/>
      <x:c r="I321" s="9"/>
      <x:c r="J321" s="8"/>
      <x:c r="K321" s="8" t="n">
        <x:v>11.011283121912538</x:v>
      </x:c>
      <x:c r="L321" s="8" t="n">
        <x:v>52.7</x:v>
      </x:c>
      <x:c r="M321" s="3" t="str">
        <x:v>Pulled from master workbook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F6B6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2" hidden="0" customWidth="1"/>
    <x:col min="17" max="17" width="14" hidden="0" customWidth="1"/>
  </x:cols>
  <x:sheetData>
    <x:row r="1" ht="28" customHeight="1">
      <x:c r="A1" s="6" t="str">
        <x:v>period</x:v>
      </x:c>
      <x:c r="B1" s="6" t="str">
        <x:v>growth</x:v>
      </x:c>
      <x:c r="C1" s="6" t="str">
        <x:v>gdp lag1</x:v>
      </x:c>
      <x:c r="D1" s="6" t="str">
        <x:v>gdp lag4</x:v>
      </x:c>
      <x:c r="E1" s="6" t="str">
        <x:v>headline yoy</x:v>
      </x:c>
      <x:c r="F1" s="6" t="str">
        <x:v>core yoy</x:v>
      </x:c>
      <x:c r="G1" s="6" t="str">
        <x:v>food yoy</x:v>
      </x:c>
      <x:c r="H1" s="6" t="str">
        <x:v>fx yoy</x:v>
      </x:c>
      <x:c r="I1" s="6" t="str">
        <x:v>fx qoq</x:v>
      </x:c>
      <x:c r="J1" s="6" t="str">
        <x:v>oil yoy</x:v>
      </x:c>
      <x:c r="K1" s="6" t="str">
        <x:v>oil qoq</x:v>
      </x:c>
      <x:c r="L1" s="6" t="str">
        <x:v>m2</x:v>
      </x:c>
      <x:c r="M1" s="6" t="str">
        <x:v>m2 yoy</x:v>
      </x:c>
      <x:c r="N1" s="6" t="str">
        <x:v>cps</x:v>
      </x:c>
      <x:c r="O1" s="6" t="str">
        <x:v>cps yoy</x:v>
      </x:c>
      <x:c r="P1" s="6" t="str">
        <x:v>mpr</x:v>
      </x:c>
      <x:c r="Q1" s="6" t="str">
        <x:v>cpd</x:v>
      </x:c>
      <x:c r="R1" s="6" t="str">
        <x:v>risk</x:v>
      </x:c>
      <x:c r="S1" s="6" t="str">
        <x:v>pmi</x:v>
      </x:c>
      <x:c r="T1" s="6" t="str">
        <x:v>macro month</x:v>
      </x:c>
    </x:row>
    <x:row r="2">
      <x:c r="A2" s="3" t="str">
        <x:v>2010Q1</x:v>
      </x:c>
      <x:c r="B2" s="8" t="n">
        <x:v>7.359999999999999</x:v>
      </x:c>
      <x:c r="C2" s="8"/>
      <x:c r="D2" s="8"/>
      <x:c r="E2" s="8" t="n">
        <x:v>14.95270999362998</x:v>
      </x:c>
      <x:c r="F2" s="8"/>
      <x:c r="G2" s="8"/>
      <x:c r="H2" s="8" t="n">
        <x:v>-4.508856509829695</x:v>
      </x:c>
      <x:c r="I2" s="8" t="n">
        <x:v>-0.4351694385911542</x:v>
      </x:c>
      <x:c r="J2" s="8" t="n">
        <x:v>65.1799225765633</x:v>
      </x:c>
      <x:c r="K2" s="8" t="n">
        <x:v>0.6393917138289851</x:v>
      </x:c>
      <x:c r="L2" s="8" t="n">
        <x:v>10754110.693333333</x:v>
      </x:c>
      <x:c r="M2" s="8" t="n">
        <x:v>17.889060186413097</x:v>
      </x:c>
      <x:c r="N2" s="8" t="n">
        <x:v>10572585.67879481</x:v>
      </x:c>
      <x:c r="O2" s="8" t="n">
        <x:v>12.26741845565754</x:v>
      </x:c>
      <x:c r="P2" s="8" t="n">
        <x:v>6</x:v>
      </x:c>
      <x:c r="Q2" s="3" t="n">
        <x:v>2.384552794162827</x:v>
      </x:c>
      <x:c r="R2" s="3"/>
      <x:c r="S2" s="3"/>
      <x:c r="T2" s="3" t="str">
        <x:v>2010Q1 available-month averages</x:v>
      </x:c>
    </x:row>
    <x:row r="3">
      <x:c r="A3" s="3" t="str">
        <x:v>2010Q2</x:v>
      </x:c>
      <x:c r="B3" s="8" t="n">
        <x:v>7.6899999999999995</x:v>
      </x:c>
      <x:c r="C3" s="8" t="n">
        <x:v>7.359999999999999</x:v>
      </x:c>
      <x:c r="D3" s="8"/>
      <x:c r="E3" s="8" t="n">
        <x:v>14.01923335312069</x:v>
      </x:c>
      <x:c r="F3" s="8"/>
      <x:c r="G3" s="8"/>
      <x:c r="H3" s="8" t="n">
        <x:v>-12.73969698768316</x:v>
      </x:c>
      <x:c r="I3" s="8" t="n">
        <x:v>0.36174519926368554</x:v>
      </x:c>
      <x:c r="J3" s="8" t="n">
        <x:v>33.605573365785425</x:v>
      </x:c>
      <x:c r="K3" s="8" t="n">
        <x:v>2.4339987121700046</x:v>
      </x:c>
      <x:c r="L3" s="8" t="n">
        <x:v>10859100.12</x:v>
      </x:c>
      <x:c r="M3" s="8" t="n">
        <x:v>21.588074442251706</x:v>
      </x:c>
      <x:c r="N3" s="8" t="n">
        <x:v>10590829.033161523</x:v>
      </x:c>
      <x:c r="O3" s="8" t="n">
        <x:v>13.88230439344681</x:v>
      </x:c>
      <x:c r="P3" s="8" t="n">
        <x:v>6</x:v>
      </x:c>
      <x:c r="Q3" s="3" t="n">
        <x:v>2.3455273681003583</x:v>
      </x:c>
      <x:c r="R3" s="3"/>
      <x:c r="S3" s="3"/>
      <x:c r="T3" s="3" t="str">
        <x:v>2010Q2 available-month averages</x:v>
      </x:c>
    </x:row>
    <x:row r="4">
      <x:c r="A4" s="3" t="str">
        <x:v>2010Q3</x:v>
      </x:c>
      <x:c r="B4" s="8" t="n">
        <x:v>7.86</x:v>
      </x:c>
      <x:c r="C4" s="8" t="n">
        <x:v>7.6899999999999995</x:v>
      </x:c>
      <x:c r="D4" s="8"/>
      <x:c r="E4" s="8" t="n">
        <x:v>13.451233745785082</x:v>
      </x:c>
      <x:c r="F4" s="8"/>
      <x:c r="G4" s="8"/>
      <x:c r="H4" s="8" t="n">
        <x:v>-2.870557717443545</x:v>
      </x:c>
      <x:c r="I4" s="8" t="n">
        <x:v>-0.14052615851316563</x:v>
      </x:c>
      <x:c r="J4" s="8" t="n">
        <x:v>11.826823225649926</x:v>
      </x:c>
      <x:c r="K4" s="8" t="n">
        <x:v>-1.391333500963876</x:v>
      </x:c>
      <x:c r="L4" s="8" t="n">
        <x:v>11228956.583333334</x:v>
      </x:c>
      <x:c r="M4" s="8" t="n">
        <x:v>21.11487041508965</x:v>
      </x:c>
      <x:c r="N4" s="8" t="n">
        <x:v>10486716.903723037</x:v>
      </x:c>
      <x:c r="O4" s="8" t="n">
        <x:v>2.6562420810534912</x:v>
      </x:c>
      <x:c r="P4" s="8" t="n">
        <x:v>6.083333333333333</x:v>
      </x:c>
      <x:c r="Q4" s="3" t="n">
        <x:v>2.489144380645161</x:v>
      </x:c>
      <x:c r="R4" s="3"/>
      <x:c r="S4" s="3"/>
      <x:c r="T4" s="3" t="str">
        <x:v>2010Q3 available-month averages</x:v>
      </x:c>
    </x:row>
    <x:row r="5">
      <x:c r="A5" s="3" t="str">
        <x:v>2010Q4</x:v>
      </x:c>
      <x:c r="B5" s="8" t="n">
        <x:v>8.6</x:v>
      </x:c>
      <x:c r="C5" s="8" t="n">
        <x:v>7.86</x:v>
      </x:c>
      <x:c r="D5" s="8"/>
      <x:c r="E5" s="8" t="n">
        <x:v>12.676993631744104</x:v>
      </x:c>
      <x:c r="F5" s="8"/>
      <x:c r="G5" s="8"/>
      <x:c r="H5" s="8" t="n">
        <x:v>0.47746560690690537</x:v>
      </x:c>
      <x:c r="I5" s="8" t="n">
        <x:v>0.6946770940206903</x:v>
      </x:c>
      <x:c r="J5" s="8" t="n">
        <x:v>14.144635904380747</x:v>
      </x:c>
      <x:c r="K5" s="8" t="n">
        <x:v>12.163195920101998</x:v>
      </x:c>
      <x:c r="L5" s="8" t="n">
        <x:v>11297596.326666668</x:v>
      </x:c>
      <x:c r="M5" s="8" t="n">
        <x:v>9.659009365428545</x:v>
      </x:c>
      <x:c r="N5" s="8" t="n">
        <x:v>10422560.660085624</x:v>
      </x:c>
      <x:c r="O5" s="8" t="n">
        <x:v>-1.8130409567214196</x:v>
      </x:c>
      <x:c r="P5" s="8" t="n">
        <x:v>6.25</x:v>
      </x:c>
      <x:c r="Q5" s="3" t="n">
        <x:v>2.5554050179211485</x:v>
      </x:c>
      <x:c r="R5" s="3"/>
      <x:c r="S5" s="3"/>
      <x:c r="T5" s="3" t="str">
        <x:v>2010Q4 available-month averages</x:v>
      </x:c>
    </x:row>
    <x:row r="6">
      <x:c r="A6" s="3" t="str">
        <x:v>2011Q1</x:v>
      </x:c>
      <x:c r="B6" s="8" t="n">
        <x:v>4.55</x:v>
      </x:c>
      <x:c r="C6" s="8" t="n">
        <x:v>8.6</x:v>
      </x:c>
      <x:c r="D6" s="8" t="n">
        <x:v>7.359999999999999</x:v>
      </x:c>
      <x:c r="E6" s="8" t="n">
        <x:v>11.986210154674566</x:v>
      </x:c>
      <x:c r="F6" s="8"/>
      <x:c r="G6" s="8"/>
      <x:c r="H6" s="8" t="n">
        <x:v>2.372431593114488</x:v>
      </x:c>
      <x:c r="I6" s="8" t="n">
        <x:v>1.4395303672698478</x:v>
      </x:c>
      <x:c r="J6" s="8" t="n">
        <x:v>37.798084170734626</x:v>
      </x:c>
      <x:c r="K6" s="8" t="n">
        <x:v>21.661867232494657</x:v>
      </x:c>
      <x:c r="L6" s="8" t="n">
        <x:v>11603606.020000001</x:v>
      </x:c>
      <x:c r="M6" s="8" t="n">
        <x:v>7.944487216969609</x:v>
      </x:c>
      <x:c r="N6" s="8" t="n">
        <x:v>8748103.822933393</x:v>
      </x:c>
      <x:c r="O6" s="8" t="n">
        <x:v>-17.25699686313509</x:v>
      </x:c>
      <x:c r="P6" s="8" t="n">
        <x:v>6.833333333333333</x:v>
      </x:c>
      <x:c r="Q6" s="3" t="n">
        <x:v>2.43</x:v>
      </x:c>
      <x:c r="R6" s="3"/>
      <x:c r="S6" s="3"/>
      <x:c r="T6" s="3" t="str">
        <x:v>2011Q1 available-month averages</x:v>
      </x:c>
    </x:row>
    <x:row r="7">
      <x:c r="A7" s="3" t="str">
        <x:v>2011Q2</x:v>
      </x:c>
      <x:c r="B7" s="8" t="n">
        <x:v>5.4</x:v>
      </x:c>
      <x:c r="C7" s="8" t="n">
        <x:v>4.55</x:v>
      </x:c>
      <x:c r="D7" s="8" t="n">
        <x:v>7.6899999999999995</x:v>
      </x:c>
      <x:c r="E7" s="8" t="n">
        <x:v>11.29119737271178</x:v>
      </x:c>
      <x:c r="F7" s="8"/>
      <x:c r="G7" s="8"/>
      <x:c r="H7" s="8" t="n">
        <x:v>3.1110199361173243</x:v>
      </x:c>
      <x:c r="I7" s="8" t="n">
        <x:v>1.087724070838303</x:v>
      </x:c>
      <x:c r="J7" s="8" t="n">
        <x:v>51.03614108091318</x:v>
      </x:c>
      <x:c r="K7" s="8" t="n">
        <x:v>12.102525771590544</x:v>
      </x:c>
      <x:c r="L7" s="8" t="n">
        <x:v>12019096.08</x:v>
      </x:c>
      <x:c r="M7" s="8" t="n">
        <x:v>10.692895155448747</x:v>
      </x:c>
      <x:c r="N7" s="8" t="n">
        <x:v>8878520.944341004</x:v>
      </x:c>
      <x:c r="O7" s="8" t="n">
        <x:v>-16.16550602074213</x:v>
      </x:c>
      <x:c r="P7" s="8" t="n">
        <x:v>7.833333333333333</x:v>
      </x:c>
      <x:c r="Q7" s="3" t="n">
        <x:v>2.42</x:v>
      </x:c>
      <x:c r="R7" s="3"/>
      <x:c r="S7" s="3"/>
      <x:c r="T7" s="3" t="str">
        <x:v>2011Q2 available-month averages</x:v>
      </x:c>
    </x:row>
    <x:row r="8">
      <x:c r="A8" s="3" t="str">
        <x:v>2011Q3</x:v>
      </x:c>
      <x:c r="B8" s="8" t="n">
        <x:v>5.029999999999999</x:v>
      </x:c>
      <x:c r="C8" s="8" t="n">
        <x:v>5.4</x:v>
      </x:c>
      <x:c r="D8" s="8" t="n">
        <x:v>7.86</x:v>
      </x:c>
      <x:c r="E8" s="8" t="n">
        <x:v>9.679046012244815</x:v>
      </x:c>
      <x:c r="F8" s="8"/>
      <x:c r="G8" s="8"/>
      <x:c r="H8" s="8" t="n">
        <x:v>5.800699796601798</x:v>
      </x:c>
      <x:c r="I8" s="8" t="n">
        <x:v>2.4556870526749153</x:v>
      </x:c>
      <x:c r="J8" s="8" t="n">
        <x:v>46.908677516685685</x:v>
      </x:c>
      <x:c r="K8" s="8" t="n">
        <x:v>-3.9922211418252695</x:v>
      </x:c>
      <x:c r="L8" s="8" t="n">
        <x:v>12505123.386666665</x:v>
      </x:c>
      <x:c r="M8" s="8" t="n">
        <x:v>11.4052309141936</x:v>
      </x:c>
      <x:c r="N8" s="8" t="n">
        <x:v>9150801.845362315</x:v>
      </x:c>
      <x:c r="O8" s="8" t="n">
        <x:v>-12.739628475141403</x:v>
      </x:c>
      <x:c r="P8" s="8" t="n">
        <x:v>8.916666666666666</x:v>
      </x:c>
      <x:c r="Q8" s="3" t="n">
        <x:v>2.356666666666667</x:v>
      </x:c>
      <x:c r="R8" s="3"/>
      <x:c r="S8" s="3"/>
      <x:c r="T8" s="3" t="str">
        <x:v>2011Q3 available-month averages</x:v>
      </x:c>
    </x:row>
    <x:row r="9">
      <x:c r="A9" s="3" t="str">
        <x:v>2011Q4</x:v>
      </x:c>
      <x:c r="B9" s="8" t="n">
        <x:v>5.7</x:v>
      </x:c>
      <x:c r="C9" s="8" t="n">
        <x:v>5.029999999999999</x:v>
      </x:c>
      <x:c r="D9" s="8" t="n">
        <x:v>8.6</x:v>
      </x:c>
      <x:c r="E9" s="8" t="n">
        <x:v>10.45582648865114</x:v>
      </x:c>
      <x:c r="F9" s="8"/>
      <x:c r="G9" s="8"/>
      <x:c r="H9" s="8" t="n">
        <x:v>5.030043317775021</x:v>
      </x:c>
      <x:c r="I9" s="8" t="n">
        <x:v>-0.028204045548696488</x:v>
      </x:c>
      <x:c r="J9" s="8" t="n">
        <x:v>28.499283175562017</x:v>
      </x:c>
      <x:c r="K9" s="8" t="n">
        <x:v>-2.048729671856009</x:v>
      </x:c>
      <x:c r="L9" s="8" t="n">
        <x:v>12562135.646666666</x:v>
      </x:c>
      <x:c r="M9" s="8" t="n">
        <x:v>11.15124442237024</x:v>
      </x:c>
      <x:c r="N9" s="8" t="n">
        <x:v>11622670.072989168</x:v>
      </x:c>
      <x:c r="O9" s="8" t="n">
        <x:v>12.848010875087295</x:v>
      </x:c>
      <x:c r="P9" s="8" t="n">
        <x:v>12</x:v>
      </x:c>
      <x:c r="Q9" s="3" t="n">
        <x:v>2.3166666666666664</x:v>
      </x:c>
      <x:c r="R9" s="3"/>
      <x:c r="S9" s="3"/>
      <x:c r="T9" s="3" t="str">
        <x:v>2011Q4 available-month averages</x:v>
      </x:c>
    </x:row>
    <x:row r="10">
      <x:c r="A10" s="3" t="str">
        <x:v>2012Q1</x:v>
      </x:c>
      <x:c r="B10" s="8" t="n">
        <x:v>4.45</x:v>
      </x:c>
      <x:c r="C10" s="8" t="n">
        <x:v>5.7</x:v>
      </x:c>
      <x:c r="D10" s="8" t="n">
        <x:v>4.55</x:v>
      </x:c>
      <x:c r="E10" s="8" t="n">
        <x:v>12.200851275937012</x:v>
      </x:c>
      <x:c r="F10" s="8"/>
      <x:c r="G10" s="8"/>
      <x:c r="H10" s="8" t="n">
        <x:v>3.541040091272992</x:v>
      </x:c>
      <x:c r="I10" s="8" t="n">
        <x:v>-0.004310167044774271</x:v>
      </x:c>
      <x:c r="J10" s="8" t="n">
        <x:v>13.450507342785817</x:v>
      </x:c>
      <x:c r="K10" s="8" t="n">
        <x:v>7.438700147710509</x:v>
      </x:c>
      <x:c r="L10" s="8" t="n">
        <x:v>13393351.506666668</x:v>
      </x:c>
      <x:c r="M10" s="8" t="n">
        <x:v>15.430105369850745</x:v>
      </x:c>
      <x:c r="N10" s="8" t="n">
        <x:v>12573743.630109033</x:v>
      </x:c>
      <x:c r="O10" s="8" t="n">
        <x:v>43.74043273390813</x:v>
      </x:c>
      <x:c r="P10" s="8" t="n">
        <x:v>12</x:v>
      </x:c>
      <x:c r="Q10" s="3" t="n">
        <x:v>2.323610961638858</x:v>
      </x:c>
      <x:c r="R10" s="3"/>
      <x:c r="S10" s="3"/>
      <x:c r="T10" s="3" t="str">
        <x:v>2012Q1 available-month averages</x:v>
      </x:c>
    </x:row>
    <x:row r="11">
      <x:c r="A11" s="3" t="str">
        <x:v>2012Q2</x:v>
      </x:c>
      <x:c r="B11" s="8" t="n">
        <x:v>4</x:v>
      </x:c>
      <x:c r="C11" s="8" t="n">
        <x:v>4.45</x:v>
      </x:c>
      <x:c r="D11" s="8" t="n">
        <x:v>5.4</x:v>
      </x:c>
      <x:c r="E11" s="8" t="n">
        <x:v>12.815313348897718</x:v>
      </x:c>
      <x:c r="F11" s="8"/>
      <x:c r="G11" s="8"/>
      <x:c r="H11" s="8" t="n">
        <x:v>1.910485852663572</x:v>
      </x:c>
      <x:c r="I11" s="8" t="n">
        <x:v>-0.4981516698354893</x:v>
      </x:c>
      <x:c r="J11" s="8" t="n">
        <x:v>-7.4096946907207295</x:v>
      </x:c>
      <x:c r="K11" s="8" t="n">
        <x:v>-8.227012758468987</x:v>
      </x:c>
      <x:c r="L11" s="8" t="n">
        <x:v>13463660.853333334</x:v>
      </x:c>
      <x:c r="M11" s="8" t="n">
        <x:v>12.024872107665622</x:v>
      </x:c>
      <x:c r="N11" s="8" t="n">
        <x:v>13168777.411058128</x:v>
      </x:c>
      <x:c r="O11" s="8" t="n">
        <x:v>48.314856055918625</x:v>
      </x:c>
      <x:c r="P11" s="8" t="n">
        <x:v>12</x:v>
      </x:c>
      <x:c r="Q11" s="3" t="n">
        <x:v>2.3801862774193547</x:v>
      </x:c>
      <x:c r="R11" s="3"/>
      <x:c r="S11" s="3"/>
      <x:c r="T11" s="3" t="str">
        <x:v>2012Q2 available-month averages</x:v>
      </x:c>
    </x:row>
    <x:row r="12">
      <x:c r="A12" s="3" t="str">
        <x:v>2012Q3</x:v>
      </x:c>
      <x:c r="B12" s="8" t="n">
        <x:v>3.5700000000000003</x:v>
      </x:c>
      <x:c r="C12" s="8" t="n">
        <x:v>4</x:v>
      </x:c>
      <x:c r="D12" s="8" t="n">
        <x:v>5.029999999999999</x:v>
      </x:c>
      <x:c r="E12" s="8" t="n">
        <x:v>11.91304660311153</x:v>
      </x:c>
      <x:c r="F12" s="8"/>
      <x:c r="G12" s="8"/>
      <x:c r="H12" s="8" t="n">
        <x:v>0.075494224914463</x:v>
      </x:c>
      <x:c r="I12" s="8" t="n">
        <x:v>0.5995546469474977</x:v>
      </x:c>
      <x:c r="J12" s="8" t="n">
        <x:v>-3.6123195531807206</x:v>
      </x:c>
      <x:c r="K12" s="8" t="n">
        <x:v>-0.3056088207094798</x:v>
      </x:c>
      <x:c r="L12" s="8" t="n">
        <x:v>13742585.256666668</x:v>
      </x:c>
      <x:c r="M12" s="8" t="n">
        <x:v>9.885331831320107</x:v>
      </x:c>
      <x:c r="N12" s="8" t="n">
        <x:v>13675385.447768303</x:v>
      </x:c>
      <x:c r="O12" s="8" t="n">
        <x:v>49.44058432905038</x:v>
      </x:c>
      <x:c r="P12" s="8" t="n">
        <x:v>12</x:v>
      </x:c>
      <x:c r="Q12" s="3" t="n">
        <x:v>2.516165770250896</x:v>
      </x:c>
      <x:c r="R12" s="3"/>
      <x:c r="S12" s="3"/>
      <x:c r="T12" s="3" t="str">
        <x:v>2012Q3 available-month averages</x:v>
      </x:c>
    </x:row>
    <x:row r="13">
      <x:c r="A13" s="3" t="str">
        <x:v>2012Q4</x:v>
      </x:c>
      <x:c r="B13" s="8" t="n">
        <x:v>4.21</x:v>
      </x:c>
      <x:c r="C13" s="8" t="n">
        <x:v>3.5700000000000003</x:v>
      </x:c>
      <x:c r="D13" s="8" t="n">
        <x:v>5.7</x:v>
      </x:c>
      <x:c r="E13" s="8" t="n">
        <x:v>11.998176886840335</x:v>
      </x:c>
      <x:c r="F13" s="8"/>
      <x:c r="G13" s="8"/>
      <x:c r="H13" s="8" t="n">
        <x:v>-1.5036103163719468</x:v>
      </x:c>
      <x:c r="I13" s="8" t="n">
        <x:v>-1.6018953498697641</x:v>
      </x:c>
      <x:c r="J13" s="8" t="n">
        <x:v>-1.1712396873045448</x:v>
      </x:c>
      <x:c r="K13" s="8" t="n">
        <x:v>0.5169201178096827</x:v>
      </x:c>
      <x:c r="L13" s="8" t="n">
        <x:v>14981958.89</x:v>
      </x:c>
      <x:c r="M13" s="8" t="n">
        <x:v>19.347576160070272</x:v>
      </x:c>
      <x:c r="N13" s="8" t="n">
        <x:v>13756654.440700913</x:v>
      </x:c>
      <x:c r="O13" s="8" t="n">
        <x:v>18.92489892268845</x:v>
      </x:c>
      <x:c r="P13" s="8" t="n">
        <x:v>12</x:v>
      </x:c>
      <x:c r="Q13" s="3" t="n">
        <x:v>2.1424987706093193</x:v>
      </x:c>
      <x:c r="R13" s="3"/>
      <x:c r="S13" s="3"/>
      <x:c r="T13" s="3" t="str">
        <x:v>2012Q4 available-month averages</x:v>
      </x:c>
    </x:row>
    <x:row r="14">
      <x:c r="A14" s="3" t="str">
        <x:v>2013Q1</x:v>
      </x:c>
      <x:c r="B14" s="8" t="n">
        <x:v>4.21</x:v>
      </x:c>
      <x:c r="C14" s="8" t="n">
        <x:v>4.21</x:v>
      </x:c>
      <x:c r="D14" s="8" t="n">
        <x:v>4.45</x:v>
      </x:c>
      <x:c r="E14" s="8" t="n">
        <x:v>9.055492339195988</x:v>
      </x:c>
      <x:c r="F14" s="8"/>
      <x:c r="G14" s="8"/>
      <x:c r="H14" s="8" t="n">
        <x:v>-1.477679095114648</x:v>
      </x:c>
      <x:c r="I14" s="8" t="n">
        <x:v>0.007882974305029045</x:v>
      </x:c>
      <x:c r="J14" s="8" t="n">
        <x:v>-4.37906821416761</x:v>
      </x:c>
      <x:c r="K14" s="8" t="n">
        <x:v>3.701488967290567</x:v>
      </x:c>
      <x:c r="L14" s="8" t="n">
        <x:v>15508395.56</x:v>
      </x:c>
      <x:c r="M14" s="8" t="n">
        <x:v>15.853583097138985</x:v>
      </x:c>
      <x:c r="N14" s="8" t="n">
        <x:v>13797957.161940187</x:v>
      </x:c>
      <x:c r="O14" s="8" t="n">
        <x:v>9.735742236751028</x:v>
      </x:c>
      <x:c r="P14" s="8" t="n">
        <x:v>12</x:v>
      </x:c>
      <x:c r="Q14" s="3" t="n">
        <x:v>2.2892694731182797</x:v>
      </x:c>
      <x:c r="R14" s="3"/>
      <x:c r="S14" s="3"/>
      <x:c r="T14" s="3" t="str">
        <x:v>2013Q1 available-month averages</x:v>
      </x:c>
    </x:row>
    <x:row r="15">
      <x:c r="A15" s="3" t="str">
        <x:v>2013Q2</x:v>
      </x:c>
      <x:c r="B15" s="8" t="n">
        <x:v>5.4</x:v>
      </x:c>
      <x:c r="C15" s="8" t="n">
        <x:v>4.21</x:v>
      </x:c>
      <x:c r="D15" s="8" t="n">
        <x:v>4</x:v>
      </x:c>
      <x:c r="E15" s="8" t="n">
        <x:v>8.789524217065848</x:v>
      </x:c>
      <x:c r="F15" s="8"/>
      <x:c r="G15" s="8"/>
      <x:c r="H15" s="8" t="n">
        <x:v>-0.4280604852925178</x:v>
      </x:c>
      <x:c r="I15" s="8" t="n">
        <x:v>0.5730309072781603</x:v>
      </x:c>
      <x:c r="J15" s="8" t="n">
        <x:v>-4.007946866046904</x:v>
      </x:c>
      <x:c r="K15" s="8" t="n">
        <x:v>-8.427517010725417</x:v>
      </x:c>
      <x:c r="L15" s="8" t="n">
        <x:v>15550535.726666667</x:v>
      </x:c>
      <x:c r="M15" s="8" t="n">
        <x:v>15.515187573205381</x:v>
      </x:c>
      <x:c r="N15" s="8" t="n">
        <x:v>14254766.145161333</x:v>
      </x:c>
      <x:c r="O15" s="8" t="n">
        <x:v>8.263910114528265</x:v>
      </x:c>
      <x:c r="P15" s="8" t="n">
        <x:v>12</x:v>
      </x:c>
      <x:c r="Q15" s="3" t="n">
        <x:v>2.1036714784946238</x:v>
      </x:c>
      <x:c r="R15" s="3"/>
      <x:c r="S15" s="3"/>
      <x:c r="T15" s="3" t="str">
        <x:v>2013Q2 available-month averages</x:v>
      </x:c>
    </x:row>
    <x:row r="16">
      <x:c r="A16" s="3" t="str">
        <x:v>2013Q3</x:v>
      </x:c>
      <x:c r="B16" s="8" t="n">
        <x:v>5.17</x:v>
      </x:c>
      <x:c r="C16" s="8" t="n">
        <x:v>5.4</x:v>
      </x:c>
      <x:c r="D16" s="8" t="n">
        <x:v>3.5700000000000003</x:v>
      </x:c>
      <x:c r="E16" s="8" t="n">
        <x:v>8.288330183285023</x:v>
      </x:c>
      <x:c r="F16" s="8"/>
      <x:c r="G16" s="8"/>
      <x:c r="H16" s="8" t="n">
        <x:v>0.5245756769763429</x:v>
      </x:c>
      <x:c r="I16" s="8" t="n">
        <x:v>1.5606525397347637</x:v>
      </x:c>
      <x:c r="J16" s="8" t="n">
        <x:v>-0.315038371778331</x:v>
      </x:c>
      <x:c r="K16" s="8" t="n">
        <x:v>4.281981045936845</x:v>
      </x:c>
      <x:c r="L16" s="8" t="n">
        <x:v>14597776.700000001</x:v>
      </x:c>
      <x:c r="M16" s="8" t="n">
        <x:v>6.292272758649195</x:v>
      </x:c>
      <x:c r="N16" s="8" t="n">
        <x:v>14653074.640347928</x:v>
      </x:c>
      <x:c r="O16" s="8" t="n">
        <x:v>7.150541958058628</x:v>
      </x:c>
      <x:c r="P16" s="8" t="n">
        <x:v>12</x:v>
      </x:c>
      <x:c r="Q16" s="3" t="n">
        <x:v>2.23578121218638</x:v>
      </x:c>
      <x:c r="R16" s="3"/>
      <x:c r="S16" s="3"/>
      <x:c r="T16" s="3" t="str">
        <x:v>2013Q3 available-month averages</x:v>
      </x:c>
    </x:row>
    <x:row r="17">
      <x:c r="A17" s="3" t="str">
        <x:v>2013Q4</x:v>
      </x:c>
      <x:c r="B17" s="8" t="n">
        <x:v>6.77</x:v>
      </x:c>
      <x:c r="C17" s="8" t="n">
        <x:v>5.17</x:v>
      </x:c>
      <x:c r="D17" s="8" t="n">
        <x:v>4.21</x:v>
      </x:c>
      <x:c r="E17" s="8" t="n">
        <x:v>7.898508857941529</x:v>
      </x:c>
      <x:c r="F17" s="8"/>
      <x:c r="G17" s="8"/>
      <x:c r="H17" s="8" t="n">
        <x:v>5.435172297972117</x:v>
      </x:c>
      <x:c r="I17" s="8" t="n">
        <x:v>3.216179664272123</x:v>
      </x:c>
      <x:c r="J17" s="8" t="n">
        <x:v>0.5517583808390292</x:v>
      </x:c>
      <x:c r="K17" s="8" t="n">
        <x:v>1.500558558014542</x:v>
      </x:c>
      <x:c r="L17" s="8" t="n">
        <x:v>14984451.450000001</x:v>
      </x:c>
      <x:c r="M17" s="8" t="n">
        <x:v>0.017478713050878003</x:v>
      </x:c>
      <x:c r="N17" s="8" t="n">
        <x:v>15139849.404211616</x:v>
      </x:c>
      <x:c r="O17" s="8" t="n">
        <x:v>10.055743161370842</x:v>
      </x:c>
      <x:c r="P17" s="8" t="n">
        <x:v>12</x:v>
      </x:c>
      <x:c r="Q17" s="3" t="n">
        <x:v>2.142470782078853</x:v>
      </x:c>
      <x:c r="R17" s="3"/>
      <x:c r="S17" s="3"/>
      <x:c r="T17" s="3" t="str">
        <x:v>2013Q4 available-month averages</x:v>
      </x:c>
    </x:row>
    <x:row r="18">
      <x:c r="A18" s="3" t="str">
        <x:v>2014Q1</x:v>
      </x:c>
      <x:c r="B18" s="8" t="n">
        <x:v>6.21</x:v>
      </x:c>
      <x:c r="C18" s="8" t="n">
        <x:v>6.77</x:v>
      </x:c>
      <x:c r="D18" s="8" t="n">
        <x:v>4.21</x:v>
      </x:c>
      <x:c r="E18" s="8" t="n">
        <x:v>7.822323190835711</x:v>
      </x:c>
      <x:c r="F18" s="8"/>
      <x:c r="G18" s="8"/>
      <x:c r="H18" s="8" t="n">
        <x:v>7.337015282681551</x:v>
      </x:c>
      <x:c r="I18" s="8" t="n">
        <x:v>1.8114502950522304</x:v>
      </x:c>
      <x:c r="J18" s="8" t="n">
        <x:v>-4.680762893615435</x:v>
      </x:c>
      <x:c r="K18" s="8" t="n">
        <x:v>-1.6925456600630606</x:v>
      </x:c>
      <x:c r="L18" s="8" t="n">
        <x:v>16216927.743333334</x:v>
      </x:c>
      <x:c r="M18" s="8" t="n">
        <x:v>4.529060399551754</x:v>
      </x:c>
      <x:c r="N18" s="8" t="n">
        <x:v>15821266.06638369</x:v>
      </x:c>
      <x:c r="O18" s="8" t="n">
        <x:v>14.660899034726649</x:v>
      </x:c>
      <x:c r="P18" s="8" t="n">
        <x:v>12</x:v>
      </x:c>
      <x:c r="Q18" s="3" t="n">
        <x:v>2.2467053859447006</x:v>
      </x:c>
      <x:c r="R18" s="3"/>
      <x:c r="S18" s="3"/>
      <x:c r="T18" s="3" t="str">
        <x:v>2014Q1 available-month averages</x:v>
      </x:c>
    </x:row>
    <x:row r="19">
      <x:c r="A19" s="3" t="str">
        <x:v>2014Q2</x:v>
      </x:c>
      <x:c r="B19" s="8" t="n">
        <x:v>6.54</x:v>
      </x:c>
      <x:c r="C19" s="8" t="n">
        <x:v>6.21</x:v>
      </x:c>
      <x:c r="D19" s="8" t="n">
        <x:v>5.4</x:v>
      </x:c>
      <x:c r="E19" s="8" t="n">
        <x:v>7.994164483602462</x:v>
      </x:c>
      <x:c r="F19" s="8"/>
      <x:c r="G19" s="8"/>
      <x:c r="H19" s="8" t="n">
        <x:v>4.9802510067892936</x:v>
      </x:c>
      <x:c r="I19" s="8" t="n">
        <x:v>-1.6380347298659337</x:v>
      </x:c>
      <x:c r="J19" s="8" t="n">
        <x:v>6.074178871160292</x:v>
      </x:c>
      <x:c r="K19" s="8" t="n">
        <x:v>1.9425701231504666</x:v>
      </x:c>
      <x:c r="L19" s="8" t="n">
        <x:v>17695282.169999998</x:v>
      </x:c>
      <x:c r="M19" s="8" t="n">
        <x:v>13.793234754572644</x:v>
      </x:c>
      <x:c r="N19" s="8" t="n">
        <x:v>16244245.535194358</x:v>
      </x:c>
      <x:c r="O19" s="8" t="n">
        <x:v>13.957956069483979</x:v>
      </x:c>
      <x:c r="P19" s="8" t="n">
        <x:v>12</x:v>
      </x:c>
      <x:c r="Q19" s="3" t="n">
        <x:v>2.206060256630824</x:v>
      </x:c>
      <x:c r="R19" s="3"/>
      <x:c r="S19" s="3"/>
      <x:c r="T19" s="3" t="str">
        <x:v>2014Q2 available-month averages</x:v>
      </x:c>
    </x:row>
    <x:row r="20">
      <x:c r="A20" s="3" t="str">
        <x:v>2014Q3</x:v>
      </x:c>
      <x:c r="B20" s="8" t="n">
        <x:v>5.17</x:v>
      </x:c>
      <x:c r="C20" s="8" t="n">
        <x:v>6.54</x:v>
      </x:c>
      <x:c r="D20" s="8" t="n">
        <x:v>5.17</x:v>
      </x:c>
      <x:c r="E20" s="8" t="n">
        <x:v>8.377411402425487</x:v>
      </x:c>
      <x:c r="F20" s="8"/>
      <x:c r="G20" s="8"/>
      <x:c r="H20" s="8" t="n">
        <x:v>3.8660167035203217</x:v>
      </x:c>
      <x:c r="I20" s="8" t="n">
        <x:v>0.48409417129671173</x:v>
      </x:c>
      <x:c r="J20" s="8" t="n">
        <x:v>-6.244387004362085</x:v>
      </x:c>
      <x:c r="K20" s="8" t="n">
        <x:v>-7.919028820753327</x:v>
      </x:c>
      <x:c r="L20" s="8" t="n">
        <x:v>18067100.663333334</x:v>
      </x:c>
      <x:c r="M20" s="8" t="n">
        <x:v>23.790199656250596</x:v>
      </x:c>
      <x:c r="N20" s="8" t="n">
        <x:v>16838886.899272744</x:v>
      </x:c>
      <x:c r="O20" s="8" t="n">
        <x:v>14.930803995406896</x:v>
      </x:c>
      <x:c r="P20" s="8" t="n">
        <x:v>12</x:v>
      </x:c>
      <x:c r="Q20" s="3" t="n">
        <x:v>2.1150056189964155</x:v>
      </x:c>
      <x:c r="R20" s="3"/>
      <x:c r="S20" s="3" t="n">
        <x:v>51.67382725872171</x:v>
      </x:c>
      <x:c r="T20" s="3" t="str">
        <x:v>2014Q3 available-month averages</x:v>
      </x:c>
    </x:row>
    <x:row r="21">
      <x:c r="A21" s="3" t="str">
        <x:v>2014Q4</x:v>
      </x:c>
      <x:c r="B21" s="8" t="n">
        <x:v>5.94</x:v>
      </x:c>
      <x:c r="C21" s="8" t="n">
        <x:v>5.17</x:v>
      </x:c>
      <x:c r="D21" s="8" t="n">
        <x:v>6.77</x:v>
      </x:c>
      <x:c r="E21" s="8" t="n">
        <x:v>7.988528260389331</x:v>
      </x:c>
      <x:c r="F21" s="8"/>
      <x:c r="G21" s="8"/>
      <x:c r="H21" s="8" t="n">
        <x:v>5.946700086723429</x:v>
      </x:c>
      <x:c r="I21" s="8" t="n">
        <x:v>5.332380744898524</x:v>
      </x:c>
      <x:c r="J21" s="8" t="n">
        <x:v>-32.38520513228672</x:v>
      </x:c>
      <x:c r="K21" s="8" t="n">
        <x:v>-26.764013796215703</x:v>
      </x:c>
      <x:c r="L21" s="8" t="n">
        <x:v>18737835.599999998</x:v>
      </x:c>
      <x:c r="M21" s="8" t="n">
        <x:v>25.15608535272304</x:v>
      </x:c>
      <x:c r="N21" s="8" t="n">
        <x:v>18107613.4935824</x:v>
      </x:c>
      <x:c r="O21" s="8" t="n">
        <x:v>19.601202278647765</x:v>
      </x:c>
      <x:c r="P21" s="8" t="n">
        <x:v>12.666666666666666</x:v>
      </x:c>
      <x:c r="Q21" s="3" t="n">
        <x:v>2.1854180290322582</x:v>
      </x:c>
      <x:c r="R21" s="3"/>
      <x:c r="S21" s="3" t="n">
        <x:v>51.28874753913296</x:v>
      </x:c>
      <x:c r="T21" s="3" t="str">
        <x:v>2014Q4 available-month averages</x:v>
      </x:c>
    </x:row>
    <x:row r="22">
      <x:c r="A22" s="3" t="str">
        <x:v>2015Q1</x:v>
      </x:c>
      <x:c r="B22" s="8" t="n">
        <x:v>3.9600000000000004</x:v>
      </x:c>
      <x:c r="C22" s="8" t="n">
        <x:v>5.94</x:v>
      </x:c>
      <x:c r="D22" s="8" t="n">
        <x:v>6.21</x:v>
      </x:c>
      <x:c r="E22" s="8" t="n">
        <x:v>8.336515241805122</x:v>
      </x:c>
      <x:c r="F22" s="8"/>
      <x:c r="G22" s="8"/>
      <x:c r="H22" s="8" t="n">
        <x:v>28.536408024948813</x:v>
      </x:c>
      <x:c r="I22" s="8" t="n">
        <x:v>23.450409305949083</x:v>
      </x:c>
      <x:c r="J22" s="8" t="n">
        <x:v>-50.50143351295278</x:v>
      </x:c>
      <x:c r="K22" s="8" t="n">
        <x:v>-27.99735915492958</x:v>
      </x:c>
      <x:c r="L22" s="8" t="n">
        <x:v>18987939.713333335</x:v>
      </x:c>
      <x:c r="M22" s="8" t="n">
        <x:v>17.537961845854596</x:v>
      </x:c>
      <x:c r="N22" s="8" t="n">
        <x:v>18682250.065760728</x:v>
      </x:c>
      <x:c r="O22" s="8" t="n">
        <x:v>18.09089618324194</x:v>
      </x:c>
      <x:c r="P22" s="8" t="n">
        <x:v>13</x:v>
      </x:c>
      <x:c r="Q22" s="3" t="n">
        <x:v>2.177945317588325</x:v>
      </x:c>
      <x:c r="R22" s="3" t="n">
        <x:v>5.678840237896701</x:v>
      </x:c>
      <x:c r="S22" s="3" t="n">
        <x:v>50.69392975116106</x:v>
      </x:c>
      <x:c r="T22" s="3" t="str">
        <x:v>2015Q1 available-month averages</x:v>
      </x:c>
    </x:row>
    <x:row r="23">
      <x:c r="A23" s="3" t="str">
        <x:v>2015Q2</x:v>
      </x:c>
      <x:c r="B23" s="8" t="n">
        <x:v>2.35</x:v>
      </x:c>
      <x:c r="C23" s="8" t="n">
        <x:v>3.9600000000000004</x:v>
      </x:c>
      <x:c r="D23" s="8" t="n">
        <x:v>6.54</x:v>
      </x:c>
      <x:c r="E23" s="8" t="n">
        <x:v>8.942006070983766</x:v>
      </x:c>
      <x:c r="F23" s="8"/>
      <x:c r="G23" s="8"/>
      <x:c r="H23" s="8" t="n">
        <x:v>28.7797981987944</x:v>
      </x:c>
      <x:c r="I23" s="8" t="n">
        <x:v>-1.4659126784644871</x:v>
      </x:c>
      <x:c r="J23" s="8" t="n">
        <x:v>-45.218007141845646</x:v>
      </x:c>
      <x:c r="K23" s="8" t="n">
        <x:v>12.836970474967902</x:v>
      </x:c>
      <x:c r="L23" s="8" t="n">
        <x:v>19205357.796666667</x:v>
      </x:c>
      <x:c r="M23" s="8" t="n">
        <x:v>8.527018499032685</x:v>
      </x:c>
      <x:c r="N23" s="8" t="n">
        <x:v>18783166.98410346</x:v>
      </x:c>
      <x:c r="O23" s="8" t="n">
        <x:v>15.631022021239332</x:v>
      </x:c>
      <x:c r="P23" s="8" t="n">
        <x:v>13</x:v>
      </x:c>
      <x:c r="Q23" s="3" t="n">
        <x:v>2.049416967204301</x:v>
      </x:c>
      <x:c r="R23" s="3" t="n">
        <x:v>6.772412331355113</x:v>
      </x:c>
      <x:c r="S23" s="3" t="n">
        <x:v>50.300000000000004</x:v>
      </x:c>
      <x:c r="T23" s="3" t="str">
        <x:v>2015Q2 available-month averages</x:v>
      </x:c>
    </x:row>
    <x:row r="24">
      <x:c r="A24" s="3" t="str">
        <x:v>2015Q3</x:v>
      </x:c>
      <x:c r="B24" s="8" t="n">
        <x:v>2.8400000000000003</x:v>
      </x:c>
      <x:c r="C24" s="8" t="n">
        <x:v>2.35</x:v>
      </x:c>
      <x:c r="D24" s="8" t="n">
        <x:v>5.17</x:v>
      </x:c>
      <x:c r="E24" s="8" t="n">
        <x:v>9.315876031587596</x:v>
      </x:c>
      <x:c r="F24" s="8"/>
      <x:c r="G24" s="8"/>
      <x:c r="H24" s="8" t="n">
        <x:v>33.36983856574999</x:v>
      </x:c>
      <x:c r="I24" s="8" t="n">
        <x:v>4.064720560933788</x:v>
      </x:c>
      <x:c r="J24" s="8" t="n">
        <x:v>-51.017866010730295</x:v>
      </x:c>
      <x:c r="K24" s="8" t="n">
        <x:v>-17.557830868411074</x:v>
      </x:c>
      <x:c r="L24" s="8" t="n">
        <x:v>18544759.383333333</x:v>
      </x:c>
      <x:c r="M24" s="8" t="n">
        <x:v>2.645939626373169</x:v>
      </x:c>
      <x:c r="N24" s="8" t="n">
        <x:v>18638170.21702067</x:v>
      </x:c>
      <x:c r="O24" s="8" t="n">
        <x:v>10.70163639585863</x:v>
      </x:c>
      <x:c r="P24" s="8" t="n">
        <x:v>13</x:v>
      </x:c>
      <x:c r="Q24" s="3" t="n">
        <x:v>2.171757988530466</x:v>
      </x:c>
      <x:c r="R24" s="3" t="n">
        <x:v>5.25206735332242</x:v>
      </x:c>
      <x:c r="S24" s="3" t="n">
        <x:v>48.96666666666666</x:v>
      </x:c>
      <x:c r="T24" s="3" t="str">
        <x:v>2015Q3 available-month averages</x:v>
      </x:c>
    </x:row>
    <x:row r="25">
      <x:c r="A25" s="3" t="str">
        <x:v>2015Q4</x:v>
      </x:c>
      <x:c r="B25" s="8" t="n">
        <x:v>2.11</x:v>
      </x:c>
      <x:c r="C25" s="8" t="n">
        <x:v>2.8400000000000003</x:v>
      </x:c>
      <x:c r="D25" s="8" t="n">
        <x:v>5.94</x:v>
      </x:c>
      <x:c r="E25" s="8" t="n">
        <x:v>9.405975812090245</x:v>
      </x:c>
      <x:c r="F25" s="8"/>
      <x:c r="G25" s="8"/>
      <x:c r="H25" s="8" t="n">
        <x:v>34.0042239404038</x:v>
      </x:c>
      <x:c r="I25" s="8" t="n">
        <x:v>5.929621535938301</x:v>
      </x:c>
      <x:c r="J25" s="8" t="n">
        <x:v>-42.00603726379138</x:v>
      </x:c>
      <x:c r="K25" s="8" t="n">
        <x:v>-13.602313050335113</x:v>
      </x:c>
      <x:c r="L25" s="8" t="n">
        <x:v>18867155.146666665</x:v>
      </x:c>
      <x:c r="M25" s="8" t="n">
        <x:v>0.667714436596519</x:v>
      </x:c>
      <x:c r="N25" s="8" t="n">
        <x:v>18650101.451471742</x:v>
      </x:c>
      <x:c r="O25" s="8" t="n">
        <x:v>3.0033267193767017</x:v>
      </x:c>
      <x:c r="P25" s="8" t="n">
        <x:v>11.666666666666666</x:v>
      </x:c>
      <x:c r="Q25" s="3" t="n">
        <x:v>2.155930135483871</x:v>
      </x:c>
      <x:c r="R25" s="3" t="n">
        <x:v>6.276130700469337</x:v>
      </x:c>
      <x:c r="S25" s="3" t="n">
        <x:v>50.53333333333334</x:v>
      </x:c>
      <x:c r="T25" s="3" t="str">
        <x:v>2015Q4 available-month averages</x:v>
      </x:c>
    </x:row>
    <x:row r="26">
      <x:c r="A26" s="3" t="str">
        <x:v>2016Q1</x:v>
      </x:c>
      <x:c r="B26" s="8" t="n">
        <x:v>-0.67</x:v>
      </x:c>
      <x:c r="C26" s="8" t="n">
        <x:v>2.11</x:v>
      </x:c>
      <x:c r="D26" s="8" t="n">
        <x:v>3.9600000000000004</x:v>
      </x:c>
      <x:c r="E26" s="8" t="n">
        <x:v>11.256818391527132</x:v>
      </x:c>
      <x:c r="F26" s="8"/>
      <x:c r="G26" s="8"/>
      <x:c r="H26" s="8" t="n">
        <x:v>42.64645607803981</x:v>
      </x:c>
      <x:c r="I26" s="8" t="n">
        <x:v>31.41846260304868</x:v>
      </x:c>
      <x:c r="J26" s="8" t="n">
        <x:v>-38.65029148923546</x:v>
      </x:c>
      <x:c r="K26" s="8" t="n">
        <x:v>-23.828719196836033</x:v>
      </x:c>
      <x:c r="L26" s="8" t="n">
        <x:v>20296898.87333333</x:v>
      </x:c>
      <x:c r="M26" s="8" t="n">
        <x:v>6.897557051767978</x:v>
      </x:c>
      <x:c r="N26" s="8" t="n">
        <x:v>18954989.559551273</x:v>
      </x:c>
      <x:c r="O26" s="8" t="n">
        <x:v>1.482497971583437</x:v>
      </x:c>
      <x:c r="P26" s="8" t="n">
        <x:v>11.333333333333334</x:v>
      </x:c>
      <x:c r="Q26" s="3" t="n">
        <x:v>2.0495284645902854</x:v>
      </x:c>
      <x:c r="R26" s="3" t="n">
        <x:v>8.848781001469387</x:v>
      </x:c>
      <x:c r="S26" s="3" t="n">
        <x:v>46.199999999999996</x:v>
      </x:c>
      <x:c r="T26" s="3" t="str">
        <x:v>2016Q1 available-month averages</x:v>
      </x:c>
    </x:row>
    <x:row r="27">
      <x:c r="A27" s="3" t="str">
        <x:v>2016Q2</x:v>
      </x:c>
      <x:c r="B27" s="8" t="n">
        <x:v>-1.49</x:v>
      </x:c>
      <x:c r="C27" s="8" t="n">
        <x:v>-0.67</x:v>
      </x:c>
      <x:c r="D27" s="8" t="n">
        <x:v>2.35</x:v>
      </x:c>
      <x:c r="E27" s="8" t="n">
        <x:v>15.259490689236822</x:v>
      </x:c>
      <x:c r="F27" s="8"/>
      <x:c r="G27" s="8"/>
      <x:c r="H27" s="8" t="n">
        <x:v>55.44591366394602</x:v>
      </x:c>
      <x:c r="I27" s="8" t="n">
        <x:v>7.327789310724597</x:v>
      </x:c>
      <x:c r="J27" s="8" t="n">
        <x:v>-25.772483012104065</x:v>
      </x:c>
      <x:c r="K27" s="8" t="n">
        <x:v>36.83474787818275</x:v>
      </x:c>
      <x:c r="L27" s="8" t="n">
        <x:v>21280351.76333333</x:v>
      </x:c>
      <x:c r="M27" s="8" t="n">
        <x:v>10.88451402090233</x:v>
      </x:c>
      <x:c r="N27" s="8" t="n">
        <x:v>19799294.212956868</x:v>
      </x:c>
      <x:c r="O27" s="8" t="n">
        <x:v>5.386172320410787</x:v>
      </x:c>
      <x:c r="P27" s="8" t="n">
        <x:v>12</x:v>
      </x:c>
      <x:c r="Q27" s="3" t="n">
        <x:v>1.81249840609319</x:v>
      </x:c>
      <x:c r="R27" s="3" t="n">
        <x:v>13.539802530664995</x:v>
      </x:c>
      <x:c r="S27" s="3" t="n">
        <x:v>43.800000000000004</x:v>
      </x:c>
      <x:c r="T27" s="3" t="str">
        <x:v>2016Q2 available-month averages</x:v>
      </x:c>
    </x:row>
    <x:row r="28">
      <x:c r="A28" s="3" t="str">
        <x:v>2016Q3</x:v>
      </x:c>
      <x:c r="B28" s="8" t="n">
        <x:v>-2.34</x:v>
      </x:c>
      <x:c r="C28" s="8" t="n">
        <x:v>-1.49</x:v>
      </x:c>
      <x:c r="D28" s="8" t="n">
        <x:v>2.8400000000000003</x:v>
      </x:c>
      <x:c r="E28" s="8" t="n">
        <x:v>17.52934051943053</x:v>
      </x:c>
      <x:c r="F28" s="8"/>
      <x:c r="G28" s="8"/>
      <x:c r="H28" s="8" t="n">
        <x:v>76.90015953365281</x:v>
      </x:c>
      <x:c r="I28" s="8" t="n">
        <x:v>18.055929493328126</x:v>
      </x:c>
      <x:c r="J28" s="8" t="n">
        <x:v>-7.600272867190942</x:v>
      </x:c>
      <x:c r="K28" s="8" t="n">
        <x:v>1.7950963222416627</x:v>
      </x:c>
      <x:c r="L28" s="8" t="n">
        <x:v>22201991.533333335</x:v>
      </x:c>
      <x:c r="M28" s="8" t="n">
        <x:v>19.73285589687032</x:v>
      </x:c>
      <x:c r="N28" s="8" t="n">
        <x:v>22588050.993954856</x:v>
      </x:c>
      <x:c r="O28" s="8" t="n">
        <x:v>21.19370523931404</x:v>
      </x:c>
      <x:c r="P28" s="8" t="n">
        <x:v>14</x:v>
      </x:c>
      <x:c r="Q28" s="3" t="n">
        <x:v>1.61014893655914</x:v>
      </x:c>
      <x:c r="R28" s="3" t="n">
        <x:v>11.330557811112968</x:v>
      </x:c>
      <x:c r="S28" s="3" t="n">
        <x:v>42.89248093902711</x:v>
      </x:c>
      <x:c r="T28" s="3" t="str">
        <x:v>2016Q3 available-month averages</x:v>
      </x:c>
    </x:row>
    <x:row r="29">
      <x:c r="A29" s="3" t="str">
        <x:v>2016Q4</x:v>
      </x:c>
      <x:c r="B29" s="8" t="n">
        <x:v>-1.73</x:v>
      </x:c>
      <x:c r="C29" s="8" t="n">
        <x:v>-2.34</x:v>
      </x:c>
      <x:c r="D29" s="8" t="n">
        <x:v>2.11</x:v>
      </x:c>
      <x:c r="E29" s="8" t="n">
        <x:v>18.45092921486288</x:v>
      </x:c>
      <x:c r="F29" s="8"/>
      <x:c r="G29" s="8"/>
      <x:c r="H29" s="8" t="n">
        <x:v>86.78135169210522</x:v>
      </x:c>
      <x:c r="I29" s="8" t="n">
        <x:v>11.825502488673711</x:v>
      </x:c>
      <x:c r="J29" s="8" t="n">
        <x:v>15.565978533378214</x:v>
      </x:c>
      <x:c r="K29" s="8" t="n">
        <x:v>7.290322580645148</x:v>
      </x:c>
      <x:c r="L29" s="8" t="n">
        <x:v>22719284.436666667</x:v>
      </x:c>
      <x:c r="M29" s="8" t="n">
        <x:v>20.50080035322986</x:v>
      </x:c>
      <x:c r="N29" s="8" t="n">
        <x:v>22758638.134929877</x:v>
      </x:c>
      <x:c r="O29" s="8" t="n">
        <x:v>22.044061102843745</x:v>
      </x:c>
      <x:c r="P29" s="8" t="n">
        <x:v>14</x:v>
      </x:c>
      <x:c r="Q29" s="3" t="n">
        <x:v>1.7590181039426522</x:v>
      </x:c>
      <x:c r="R29" s="3" t="n">
        <x:v>9.03326565643999</x:v>
      </x:c>
      <x:c r="S29" s="3" t="n">
        <x:v>47.36666666666667</x:v>
      </x:c>
      <x:c r="T29" s="3" t="str">
        <x:v>2016Q4 available-month averages</x:v>
      </x:c>
    </x:row>
    <x:row r="30">
      <x:c r="A30" s="3" t="str">
        <x:v>2017Q1</x:v>
      </x:c>
      <x:c r="B30" s="8" t="n">
        <x:v>-0.91</x:v>
      </x:c>
      <x:c r="C30" s="8" t="n">
        <x:v>-1.73</x:v>
      </x:c>
      <x:c r="D30" s="8" t="n">
        <x:v>-0.67</x:v>
      </x:c>
      <x:c r="E30" s="8" t="n">
        <x:v>17.91826247739927</x:v>
      </x:c>
      <x:c r="F30" s="8"/>
      <x:c r="G30" s="8"/>
      <x:c r="H30" s="8" t="n">
        <x:v>51.34635582888791</x:v>
      </x:c>
      <x:c r="I30" s="8" t="n">
        <x:v>6.364166638450719</x:v>
      </x:c>
      <x:c r="J30" s="8" t="n">
        <x:v>54.56156428489541</x:v>
      </x:c>
      <x:c r="K30" s="8" t="n">
        <x:v>2.5790071490612965</x:v>
      </x:c>
      <x:c r="L30" s="8" t="n">
        <x:v>22537249.743333336</x:v>
      </x:c>
      <x:c r="M30" s="8" t="n">
        <x:v>11.107385449057524</x:v>
      </x:c>
      <x:c r="N30" s="8" t="n">
        <x:v>22495856.580584843</x:v>
      </x:c>
      <x:c r="O30" s="8" t="n">
        <x:v>18.680143615093698</x:v>
      </x:c>
      <x:c r="P30" s="8" t="n">
        <x:v>14</x:v>
      </x:c>
      <x:c r="Q30" s="3" t="n">
        <x:v>1.7513645583717359</x:v>
      </x:c>
      <x:c r="R30" s="3" t="n">
        <x:v>8.74069261003776</x:v>
      </x:c>
      <x:c r="S30" s="3" t="n">
        <x:v>46.823464214404964</x:v>
      </x:c>
      <x:c r="T30" s="3" t="str">
        <x:v>2017Q1 available-month averages</x:v>
      </x:c>
    </x:row>
    <x:row r="31">
      <x:c r="A31" s="3" t="str">
        <x:v>2017Q2</x:v>
      </x:c>
      <x:c r="B31" s="8" t="n">
        <x:v>0.72</x:v>
      </x:c>
      <x:c r="C31" s="8" t="n">
        <x:v>-0.91</x:v>
      </x:c>
      <x:c r="D31" s="8" t="n">
        <x:v>-1.49</x:v>
      </x:c>
      <x:c r="E31" s="8" t="n">
        <x:v>16.531400100474006</x:v>
      </x:c>
      <x:c r="F31" s="8"/>
      <x:c r="G31" s="8"/>
      <x:c r="H31" s="8" t="n">
        <x:v>13.57322809190716</x:v>
      </x:c>
      <x:c r="I31" s="8" t="n">
        <x:v>-19.319637083559783</x:v>
      </x:c>
      <x:c r="J31" s="8" t="n">
        <x:v>10.920918793957831</x:v>
      </x:c>
      <x:c r="K31" s="8" t="n">
        <x:v>-1.693480101608802</x:v>
      </x:c>
      <x:c r="L31" s="8" t="n">
        <x:v>21932198.05</x:v>
      </x:c>
      <x:c r="M31" s="8" t="n">
        <x:v>3.130573153103544</x:v>
      </x:c>
      <x:c r="N31" s="8" t="n">
        <x:v>22403200.078534048</x:v>
      </x:c>
      <x:c r="O31" s="8" t="n">
        <x:v>13.525189758494067</x:v>
      </x:c>
      <x:c r="P31" s="8" t="n">
        <x:v>14</x:v>
      </x:c>
      <x:c r="Q31" s="3" t="n">
        <x:v>1.8749300738351256</x:v>
      </x:c>
      <x:c r="R31" s="3" t="n">
        <x:v>6.18975429798419</x:v>
      </x:c>
      <x:c r="S31" s="3" t="n">
        <x:v>52.166666666666664</x:v>
      </x:c>
      <x:c r="T31" s="3" t="str">
        <x:v>2017Q2 available-month averages</x:v>
      </x:c>
    </x:row>
    <x:row r="32">
      <x:c r="A32" s="3" t="str">
        <x:v>2017Q3</x:v>
      </x:c>
      <x:c r="B32" s="8" t="n">
        <x:v>1.4000000000000001</x:v>
      </x:c>
      <x:c r="C32" s="8" t="n">
        <x:v>0.72</x:v>
      </x:c>
      <x:c r="D32" s="8" t="n">
        <x:v>-2.34</x:v>
      </x:c>
      <x:c r="E32" s="8" t="n">
        <x:v>16.01447050214</x:v>
      </x:c>
      <x:c r="F32" s="8"/>
      <x:c r="G32" s="8"/>
      <x:c r="H32" s="8" t="n">
        <x:v>-7.558787528113527</x:v>
      </x:c>
      <x:c r="I32" s="8" t="n">
        <x:v>-4.119942003565891</x:v>
      </x:c>
      <x:c r="J32" s="8" t="n">
        <x:v>12.786476920103247</x:v>
      </x:c>
      <x:c r="K32" s="8" t="n">
        <x:v>4.313257801629877</x:v>
      </x:c>
      <x:c r="L32" s="8" t="n">
        <x:v>22000155.973333333</x:v>
      </x:c>
      <x:c r="M32" s="8" t="n">
        <x:v>-0.9043321690328843</x:v>
      </x:c>
      <x:c r="N32" s="8" t="n">
        <x:v>22601041.126318485</x:v>
      </x:c>
      <x:c r="O32" s="8" t="n">
        <x:v>0.06008104431641422</x:v>
      </x:c>
      <x:c r="P32" s="8" t="n">
        <x:v>14</x:v>
      </x:c>
      <x:c r="Q32" s="3" t="n">
        <x:v>1.9799791716845878</x:v>
      </x:c>
      <x:c r="R32" s="3" t="n">
        <x:v>5.20562997217526</x:v>
      </x:c>
      <x:c r="S32" s="3" t="n">
        <x:v>54.333333333333336</x:v>
      </x:c>
      <x:c r="T32" s="3" t="str">
        <x:v>2017Q3 available-month averages</x:v>
      </x:c>
    </x:row>
    <x:row r="33">
      <x:c r="A33" s="3" t="str">
        <x:v>2017Q4</x:v>
      </x:c>
      <x:c r="B33" s="8" t="n">
        <x:v>2.11</x:v>
      </x:c>
      <x:c r="C33" s="8" t="n">
        <x:v>1.4000000000000001</x:v>
      </x:c>
      <x:c r="D33" s="8" t="n">
        <x:v>-1.73</x:v>
      </x:c>
      <x:c r="E33" s="8" t="n">
        <x:v>15.726078787150058</x:v>
      </x:c>
      <x:c r="F33" s="8"/>
      <x:c r="G33" s="8"/>
      <x:c r="H33" s="8" t="n">
        <x:v>-18.218115642082534</x:v>
      </x:c>
      <x:c r="I33" s="8" t="n">
        <x:v>-0.8246330395757506</x:v>
      </x:c>
      <x:c r="J33" s="8" t="n">
        <x:v>25.65766710455181</x:v>
      </x:c>
      <x:c r="K33" s="8" t="n">
        <x:v>18.857977642276435</x:v>
      </x:c>
      <x:c r="L33" s="8" t="n">
        <x:v>22984123.413333338</x:v>
      </x:c>
      <x:c r="M33" s="8" t="n">
        <x:v>1.1457156875193737</x:v>
      </x:c>
      <x:c r="N33" s="8" t="n">
        <x:v>22336626.224521525</x:v>
      </x:c>
      <x:c r="O33" s="8" t="n">
        <x:v>-1.8397652829911166</x:v>
      </x:c>
      <x:c r="P33" s="8" t="n">
        <x:v>14</x:v>
      </x:c>
      <x:c r="Q33" s="3" t="n">
        <x:v>1.9539515111111114</x:v>
      </x:c>
      <x:c r="R33" s="3" t="n">
        <x:v>6.737838539164312</x:v>
      </x:c>
      <x:c r="S33" s="3" t="n">
        <x:v>56.73333333333333</x:v>
      </x:c>
      <x:c r="T33" s="3" t="str">
        <x:v>2017Q4 available-month averages</x:v>
      </x:c>
    </x:row>
    <x:row r="34">
      <x:c r="A34" s="3" t="str">
        <x:v>2018Q1</x:v>
      </x:c>
      <x:c r="B34" s="8" t="n">
        <x:v>1.95</x:v>
      </x:c>
      <x:c r="C34" s="8" t="n">
        <x:v>2.11</x:v>
      </x:c>
      <x:c r="D34" s="8" t="n">
        <x:v>-0.91</x:v>
      </x:c>
      <x:c r="E34" s="8" t="n">
        <x:v>14.26451066555441</x:v>
      </x:c>
      <x:c r="F34" s="8"/>
      <x:c r="G34" s="8"/>
      <x:c r="H34" s="8" t="n">
        <x:v>-22.931240379609616</x:v>
      </x:c>
      <x:c r="I34" s="8" t="n">
        <x:v>0.02705984215918278</x:v>
      </x:c>
      <x:c r="J34" s="8" t="n">
        <x:v>32.93131386938359</x:v>
      </x:c>
      <x:c r="K34" s="8" t="n">
        <x:v>8.635707796718872</x:v>
      </x:c>
      <x:c r="L34" s="8" t="n">
        <x:v>24176821.3</x:v>
      </x:c>
      <x:c r="M34" s="8" t="n">
        <x:v>7.318642290749359</x:v>
      </x:c>
      <x:c r="N34" s="8" t="n">
        <x:v>22259656.91664283</x:v>
      </x:c>
      <x:c r="O34" s="8" t="n">
        <x:v>-1.0446508138445647</x:v>
      </x:c>
      <x:c r="P34" s="8" t="n">
        <x:v>14</x:v>
      </x:c>
      <x:c r="Q34" s="3" t="n">
        <x:v>1.9836363333333333</x:v>
      </x:c>
      <x:c r="R34" s="3" t="n">
        <x:v>6.589355060568731</x:v>
      </x:c>
      <x:c r="S34" s="3" t="n">
        <x:v>56.76666666666667</x:v>
      </x:c>
      <x:c r="T34" s="3" t="str">
        <x:v>2018Q1 available-month averages</x:v>
      </x:c>
    </x:row>
    <x:row r="35">
      <x:c r="A35" s="3" t="str">
        <x:v>2018Q2</x:v>
      </x:c>
      <x:c r="B35" s="8" t="n">
        <x:v>1.5</x:v>
      </x:c>
      <x:c r="C35" s="8" t="n">
        <x:v>1.95</x:v>
      </x:c>
      <x:c r="D35" s="8" t="n">
        <x:v>0.72</x:v>
      </x:c>
      <x:c r="E35" s="8" t="n">
        <x:v>11.773661300430263</x:v>
      </x:c>
      <x:c r="F35" s="8"/>
      <x:c r="G35" s="8"/>
      <x:c r="H35" s="8" t="n">
        <x:v>-4.982733924907968</x:v>
      </x:c>
      <x:c r="I35" s="8" t="n">
        <x:v>-0.18257271006051345</x:v>
      </x:c>
      <x:c r="J35" s="8" t="n">
        <x:v>49.77093265078181</x:v>
      </x:c>
      <x:c r="K35" s="8" t="n">
        <x:v>10.900683752275064</x:v>
      </x:c>
      <x:c r="L35" s="8" t="n">
        <x:v>24819057.566666666</x:v>
      </x:c>
      <x:c r="M35" s="8" t="n">
        <x:v>13.159284455753124</x:v>
      </x:c>
      <x:c r="N35" s="8" t="n">
        <x:v>22152224.874043208</x:v>
      </x:c>
      <x:c r="O35" s="8" t="n">
        <x:v>-1.1186122679011683</x:v>
      </x:c>
      <x:c r="P35" s="8" t="n">
        <x:v>14</x:v>
      </x:c>
      <x:c r="Q35" s="3" t="n">
        <x:v>1.8422506666666667</x:v>
      </x:c>
      <x:c r="R35" s="3" t="n">
        <x:v>3.7357417753074835</x:v>
      </x:c>
      <x:c r="S35" s="3" t="n">
        <x:v>56.800000000000004</x:v>
      </x:c>
      <x:c r="T35" s="3" t="str">
        <x:v>2018Q2 available-month averages</x:v>
      </x:c>
    </x:row>
    <x:row r="36">
      <x:c r="A36" s="3" t="str">
        <x:v>2018Q3</x:v>
      </x:c>
      <x:c r="B36" s="8" t="n">
        <x:v>1.81</x:v>
      </x:c>
      <x:c r="C36" s="8" t="n">
        <x:v>1.5</x:v>
      </x:c>
      <x:c r="D36" s="8" t="n">
        <x:v>1.4000000000000001</x:v>
      </x:c>
      <x:c r="E36" s="8" t="n">
        <x:v>11.217829323761313</x:v>
      </x:c>
      <x:c r="F36" s="8"/>
      <x:c r="G36" s="8"/>
      <x:c r="H36" s="8" t="n">
        <x:v>-1.7228948903466084</x:v>
      </x:c>
      <x:c r="I36" s="8" t="n">
        <x:v>-0.7513499195847873</x:v>
      </x:c>
      <x:c r="J36" s="8" t="n">
        <x:v>44.88254957120737</x:v>
      </x:c>
      <x:c r="K36" s="8" t="n">
        <x:v>0.9802616988245916</x:v>
      </x:c>
      <x:c r="L36" s="8" t="n">
        <x:v>25130370.24333333</x:v>
      </x:c>
      <x:c r="M36" s="8" t="n">
        <x:v>14.23372117257676</x:v>
      </x:c>
      <x:c r="N36" s="8" t="n">
        <x:v>22568572.728401635</x:v>
      </x:c>
      <x:c r="O36" s="8" t="n">
        <x:v>-0.13915057371129969</x:v>
      </x:c>
      <x:c r="P36" s="8" t="n">
        <x:v>14</x:v>
      </x:c>
      <x:c r="Q36" s="3" t="n">
        <x:v>1.9357110000000002</x:v>
      </x:c>
      <x:c r="R36" s="3" t="n">
        <x:v>3.037710981401643</x:v>
      </x:c>
      <x:c r="S36" s="3" t="n">
        <x:v>56.70000000000001</x:v>
      </x:c>
      <x:c r="T36" s="3" t="str">
        <x:v>2018Q3 available-month averages</x:v>
      </x:c>
    </x:row>
    <x:row r="37">
      <x:c r="A37" s="3" t="str">
        <x:v>2018Q4</x:v>
      </x:c>
      <x:c r="B37" s="8" t="n">
        <x:v>2.3800000000000003</x:v>
      </x:c>
      <x:c r="C37" s="8" t="n">
        <x:v>1.81</x:v>
      </x:c>
      <x:c r="D37" s="8" t="n">
        <x:v>2.11</x:v>
      </x:c>
      <x:c r="E37" s="8" t="n">
        <x:v>11.327262458659144</x:v>
      </x:c>
      <x:c r="F37" s="8"/>
      <x:c r="G37" s="8"/>
      <x:c r="H37" s="8" t="n">
        <x:v>-0.033455959776888346</x:v>
      </x:c>
      <x:c r="I37" s="8" t="n">
        <x:v>0.8804054513707804</x:v>
      </x:c>
      <x:c r="J37" s="8" t="n">
        <x:v>11.821457450032149</x:v>
      </x:c>
      <x:c r="K37" s="8" t="n">
        <x:v>-8.72792761135026</x:v>
      </x:c>
      <x:c r="L37" s="8" t="n">
        <x:v>26192634.826666668</x:v>
      </x:c>
      <x:c r="M37" s="8" t="n">
        <x:v>14.00469689291919</x:v>
      </x:c>
      <x:c r="N37" s="8" t="n">
        <x:v>23604848.85731463</x:v>
      </x:c>
      <x:c r="O37" s="8" t="n">
        <x:v>5.678743272436019</x:v>
      </x:c>
      <x:c r="P37" s="8" t="n">
        <x:v>14</x:v>
      </x:c>
      <x:c r="Q37" s="3" t="n">
        <x:v>1.905591</x:v>
      </x:c>
      <x:c r="R37" s="3" t="n">
        <x:v>4.77138032840599</x:v>
      </x:c>
      <x:c r="S37" s="3" t="n">
        <x:v>58.599999999999994</x:v>
      </x:c>
      <x:c r="T37" s="3" t="str">
        <x:v>2018Q4 available-month averages</x:v>
      </x:c>
    </x:row>
    <x:row r="38">
      <x:c r="A38" s="3" t="str">
        <x:v>2019Q1</x:v>
      </x:c>
      <x:c r="B38" s="8" t="n">
        <x:v>2.1</x:v>
      </x:c>
      <x:c r="C38" s="8" t="n">
        <x:v>2.3800000000000003</x:v>
      </x:c>
      <x:c r="D38" s="8" t="n">
        <x:v>1.95</x:v>
      </x:c>
      <x:c r="E38" s="8" t="n">
        <x:v>11.310361935195388</x:v>
      </x:c>
      <x:c r="F38" s="8"/>
      <x:c r="G38" s="8"/>
      <x:c r="H38" s="8" t="n">
        <x:v>-0.7179298952757929</x:v>
      </x:c>
      <x:c r="I38" s="8" t="n">
        <x:v>-0.6578834214842177</x:v>
      </x:c>
      <x:c r="J38" s="8" t="n">
        <x:v>-5.133219714820073</x:v>
      </x:c>
      <x:c r="K38" s="8" t="n">
        <x:v>-7.305452620434094</x:v>
      </x:c>
      <x:c r="L38" s="8" t="n">
        <x:v>26717513.960000005</x:v>
      </x:c>
      <x:c r="M38" s="8" t="n">
        <x:v>10.514287422750357</x:v>
      </x:c>
      <x:c r="N38" s="8" t="n">
        <x:v>25472724.165873114</x:v>
      </x:c>
      <x:c r="O38" s="8" t="n">
        <x:v>14.432751117479777</x:v>
      </x:c>
      <x:c r="P38" s="8" t="n">
        <x:v>13.833333333333334</x:v>
      </x:c>
      <x:c r="Q38" s="3" t="n">
        <x:v>1.9705526666666666</x:v>
      </x:c>
      <x:c r="R38" s="3" t="n">
        <x:v>3.744132353546687</x:v>
      </x:c>
      <x:c r="S38" s="3" t="n">
        <x:v>57.666666666666664</x:v>
      </x:c>
      <x:c r="T38" s="3" t="str">
        <x:v>2019Q1 available-month averages</x:v>
      </x:c>
    </x:row>
    <x:row r="39">
      <x:c r="A39" s="3" t="str">
        <x:v>2019Q2</x:v>
      </x:c>
      <x:c r="B39" s="8" t="n">
        <x:v>2.12</x:v>
      </x:c>
      <x:c r="C39" s="8" t="n">
        <x:v>2.1</x:v>
      </x:c>
      <x:c r="D39" s="8" t="n">
        <x:v>1.5</x:v>
      </x:c>
      <x:c r="E39" s="8" t="n">
        <x:v>11.328596235874093</x:v>
      </x:c>
      <x:c r="F39" s="8"/>
      <x:c r="G39" s="8"/>
      <x:c r="H39" s="8" t="n">
        <x:v>-0.6507316382695231</x:v>
      </x:c>
      <x:c r="I39" s="8" t="n">
        <x:v>-0.11588247142920727</x:v>
      </x:c>
      <x:c r="J39" s="8" t="n">
        <x:v>-5.231070649599734</x:v>
      </x:c>
      <x:c r="K39" s="8" t="n">
        <x:v>10.83017496495511</x:v>
      </x:c>
      <x:c r="L39" s="8" t="n">
        <x:v>27763991.676666666</x:v>
      </x:c>
      <x:c r="M39" s="8" t="n">
        <x:v>11.875846576510137</x:v>
      </x:c>
      <x:c r="N39" s="8" t="n">
        <x:v>25406714.69521478</x:v>
      </x:c>
      <x:c r="O39" s="8" t="n">
        <x:v>14.697052319354372</x:v>
      </x:c>
      <x:c r="P39" s="8" t="n">
        <x:v>13.5</x:v>
      </x:c>
      <x:c r="Q39" s="3" t="n">
        <x:v>2.0163363333333333</x:v>
      </x:c>
      <x:c r="R39" s="3" t="n">
        <x:v>3.9203303124254703</x:v>
      </x:c>
      <x:c r="S39" s="3" t="n">
        <x:v>57.63333333333333</x:v>
      </x:c>
      <x:c r="T39" s="3" t="str">
        <x:v>2019Q2 available-month averages</x:v>
      </x:c>
    </x:row>
    <x:row r="40">
      <x:c r="A40" s="3" t="str">
        <x:v>2019Q3</x:v>
      </x:c>
      <x:c r="B40" s="8" t="n">
        <x:v>2.2800000000000002</x:v>
      </x:c>
      <x:c r="C40" s="8" t="n">
        <x:v>2.12</x:v>
      </x:c>
      <x:c r="D40" s="8" t="n">
        <x:v>1.81</x:v>
      </x:c>
      <x:c r="E40" s="8" t="n">
        <x:v>11.114707070933923</x:v>
      </x:c>
      <x:c r="F40" s="8"/>
      <x:c r="G40" s="8"/>
      <x:c r="H40" s="8" t="n">
        <x:v>-0.0159947480262157</x:v>
      </x:c>
      <x:c r="I40" s="8" t="n">
        <x:v>-0.11647391665922102</x:v>
      </x:c>
      <x:c r="J40" s="8" t="n">
        <x:v>-15.370054211543874</x:v>
      </x:c>
      <x:c r="K40" s="8" t="n">
        <x:v>-9.79528739401323</x:v>
      </x:c>
      <x:c r="L40" s="8" t="n">
        <x:v>27834632.606666666</x:v>
      </x:c>
      <x:c r="M40" s="8" t="n">
        <x:v>10.780811550731363</x:v>
      </x:c>
      <x:c r="N40" s="8" t="n">
        <x:v>25431183.965149928</x:v>
      </x:c>
      <x:c r="O40" s="8" t="n">
        <x:v>12.69148977218321</x:v>
      </x:c>
      <x:c r="P40" s="8" t="n">
        <x:v>13.5</x:v>
      </x:c>
      <x:c r="Q40" s="3" t="n">
        <x:v>2.087716</x:v>
      </x:c>
      <x:c r="R40" s="3" t="n">
        <x:v>3.13255116383015</x:v>
      </x:c>
      <x:c r="S40" s="3" t="n">
        <x:v>57.73333333333333</x:v>
      </x:c>
      <x:c r="T40" s="3" t="str">
        <x:v>2019Q3 available-month averages</x:v>
      </x:c>
    </x:row>
    <x:row r="41">
      <x:c r="A41" s="3" t="str">
        <x:v>2019Q4</x:v>
      </x:c>
      <x:c r="B41" s="8" t="n">
        <x:v>2.55</x:v>
      </x:c>
      <x:c r="C41" s="8" t="n">
        <x:v>2.2800000000000002</x:v>
      </x:c>
      <x:c r="D41" s="8" t="n">
        <x:v>2.3800000000000003</x:v>
      </x:c>
      <x:c r="E41" s="8" t="n">
        <x:v>11.814022817616321</x:v>
      </x:c>
      <x:c r="F41" s="8"/>
      <x:c r="G41" s="8"/>
      <x:c r="H41" s="8" t="n">
        <x:v>-0.8129712048715673</x:v>
      </x:c>
      <x:c r="I41" s="8" t="n">
        <x:v>0.07566280618218624</x:v>
      </x:c>
      <x:c r="J41" s="8" t="n">
        <x:v>-6.452551655370345</x:v>
      </x:c>
      <x:c r="K41" s="8" t="n">
        <x:v>-0.6933408923048612</x:v>
      </x:c>
      <x:c r="L41" s="8" t="n">
        <x:v>28336785.76</x:v>
      </x:c>
      <x:c r="M41" s="8" t="n">
        <x:v>8.23533970859045</x:v>
      </x:c>
      <x:c r="N41" s="8" t="n">
        <x:v>26396863.640052516</x:v>
      </x:c>
      <x:c r="O41" s="8" t="n">
        <x:v>11.829748042331943</x:v>
      </x:c>
      <x:c r="P41" s="8" t="n">
        <x:v>13.5</x:v>
      </x:c>
      <x:c r="Q41" s="3" t="n">
        <x:v>1.9824543333333333</x:v>
      </x:c>
      <x:c r="R41" s="3" t="n">
        <x:v>3.74077957172945</x:v>
      </x:c>
      <x:c r="S41" s="3" t="n">
        <x:v>59.43333333333334</x:v>
      </x:c>
      <x:c r="T41" s="3" t="str">
        <x:v>2019Q4 available-month averages</x:v>
      </x:c>
    </x:row>
    <x:row r="42">
      <x:c r="A42" s="3" t="str">
        <x:v>2020Q1</x:v>
      </x:c>
      <x:c r="B42" s="8" t="n">
        <x:v>1.87</x:v>
      </x:c>
      <x:c r="C42" s="8" t="n">
        <x:v>2.55</x:v>
      </x:c>
      <x:c r="D42" s="8" t="n">
        <x:v>2.1</x:v>
      </x:c>
      <x:c r="E42" s="8" t="n">
        <x:v>12.196054686654909</x:v>
      </x:c>
      <x:c r="F42" s="8"/>
      <x:c r="G42" s="8"/>
      <x:c r="H42" s="8" t="n">
        <x:v>1.5722684717587088</x:v>
      </x:c>
      <x:c r="I42" s="8" t="n">
        <x:v>1.7283898573024148</x:v>
      </x:c>
      <x:c r="J42" s="8" t="n">
        <x:v>-17.048241855798683</x:v>
      </x:c>
      <x:c r="K42" s="8" t="n">
        <x:v>-17.67097458159902</x:v>
      </x:c>
      <x:c r="L42" s="8" t="n">
        <x:v>29908116.176666666</x:v>
      </x:c>
      <x:c r="M42" s="8" t="n">
        <x:v>11.939415728124544</x:v>
      </x:c>
      <x:c r="N42" s="8" t="n">
        <x:v>27285007.976035625</x:v>
      </x:c>
      <x:c r="O42" s="8" t="n">
        <x:v>7.109403351547928</x:v>
      </x:c>
      <x:c r="P42" s="8" t="n">
        <x:v>13.5</x:v>
      </x:c>
      <x:c r="Q42" s="3" t="n">
        <x:v>2.060331</x:v>
      </x:c>
      <x:c r="R42" s="3" t="n">
        <x:v>4.263829582000223</x:v>
      </x:c>
      <x:c r="S42" s="3" t="n">
        <x:v>56.199999999999996</x:v>
      </x:c>
      <x:c r="T42" s="3" t="str">
        <x:v>2020Q1 available-month averages</x:v>
      </x:c>
    </x:row>
    <x:row r="43">
      <x:c r="A43" s="3" t="str">
        <x:v>2020Q2</x:v>
      </x:c>
      <x:c r="B43" s="8" t="n">
        <x:v>-6.1</x:v>
      </x:c>
      <x:c r="C43" s="8" t="n">
        <x:v>1.87</x:v>
      </x:c>
      <x:c r="D43" s="8" t="n">
        <x:v>2.12</x:v>
      </x:c>
      <x:c r="E43" s="8" t="n">
        <x:v>12.434811134191676</x:v>
      </x:c>
      <x:c r="F43" s="8"/>
      <x:c r="G43" s="8"/>
      <x:c r="H43" s="8" t="n">
        <x:v>21.60232843870138</x:v>
      </x:c>
      <x:c r="I43" s="8" t="n">
        <x:v>19.58879407110974</x:v>
      </x:c>
      <x:c r="J43" s="8" t="n">
        <x:v>-60.7340719258147</x:v>
      </x:c>
      <x:c r="K43" s="8" t="n">
        <x:v>-47.61341040119754</x:v>
      </x:c>
      <x:c r="L43" s="8" t="n">
        <x:v>32260453.02</x:v>
      </x:c>
      <x:c r="M43" s="8" t="n">
        <x:v>16.193070196179608</x:v>
      </x:c>
      <x:c r="N43" s="8" t="n">
        <x:v>29266213.92406254</x:v>
      </x:c>
      <x:c r="O43" s="8" t="n">
        <x:v>15.238613544222067</x:v>
      </x:c>
      <x:c r="P43" s="8" t="n">
        <x:v>13.166666666666666</x:v>
      </x:c>
      <x:c r="Q43" s="3" t="n">
        <x:v>1.824469</x:v>
      </x:c>
      <x:c r="R43" s="3" t="n">
        <x:v>5.1337990388590535</x:v>
      </x:c>
      <x:c r="S43" s="3" t="n">
        <x:v>42.46666666666667</x:v>
      </x:c>
      <x:c r="T43" s="3" t="str">
        <x:v>2020Q2 available-month averages</x:v>
      </x:c>
    </x:row>
    <x:row r="44">
      <x:c r="A44" s="3" t="str">
        <x:v>2020Q3</x:v>
      </x:c>
      <x:c r="B44" s="8" t="n">
        <x:v>-3.62</x:v>
      </x:c>
      <x:c r="C44" s="8" t="n">
        <x:v>-6.1</x:v>
      </x:c>
      <x:c r="D44" s="8" t="n">
        <x:v>2.2800000000000002</x:v>
      </x:c>
      <x:c r="E44" s="8" t="n">
        <x:v>13.248953416446282</x:v>
      </x:c>
      <x:c r="F44" s="8"/>
      <x:c r="G44" s="8"/>
      <x:c r="H44" s="8" t="n">
        <x:v>29.183859114300414</x:v>
      </x:c>
      <x:c r="I44" s="8" t="n">
        <x:v>6.107789279287035</x:v>
      </x:c>
      <x:c r="J44" s="8" t="n">
        <x:v>-32.34544369758833</x:v>
      </x:c>
      <x:c r="K44" s="8" t="n">
        <x:v>57.6322905380505</x:v>
      </x:c>
      <x:c r="L44" s="8" t="n">
        <x:v>34188454.32333333</x:v>
      </x:c>
      <x:c r="M44" s="8" t="n">
        <x:v>22.86516741617143</x:v>
      </x:c>
      <x:c r="N44" s="8" t="n">
        <x:v>30105397.457316</x:v>
      </x:c>
      <x:c r="O44" s="8" t="n">
        <x:v>18.398503644210717</x:v>
      </x:c>
      <x:c r="P44" s="8" t="n">
        <x:v>12.166666666666666</x:v>
      </x:c>
      <x:c r="Q44" s="3" t="n">
        <x:v>1.6324426666666667</x:v>
      </x:c>
      <x:c r="R44" s="3" t="n">
        <x:v>6.451735791097093</x:v>
      </x:c>
      <x:c r="S44" s="3" t="n">
        <x:v>46.76666666666667</x:v>
      </x:c>
      <x:c r="T44" s="3" t="str">
        <x:v>2020Q3 available-month averages</x:v>
      </x:c>
    </x:row>
    <x:row r="45">
      <x:c r="A45" s="3" t="str">
        <x:v>2020Q4</x:v>
      </x:c>
      <x:c r="B45" s="8" t="n">
        <x:v>0.11</x:v>
      </x:c>
      <x:c r="C45" s="8" t="n">
        <x:v>-3.62</x:v>
      </x:c>
      <x:c r="D45" s="8" t="n">
        <x:v>2.55</x:v>
      </x:c>
      <x:c r="E45" s="8" t="n">
        <x:v>14.957796685765105</x:v>
      </x:c>
      <x:c r="F45" s="8"/>
      <x:c r="G45" s="8"/>
      <x:c r="H45" s="8" t="n">
        <x:v>30.196909297039</x:v>
      </x:c>
      <x:c r="I45" s="8" t="n">
        <x:v>0.8610594903933455</x:v>
      </x:c>
      <x:c r="J45" s="8" t="n">
        <x:v>-30.721593517673284</x:v>
      </x:c>
      <x:c r="K45" s="8" t="n">
        <x:v>2.129707314979057</x:v>
      </x:c>
      <x:c r="L45" s="8" t="n">
        <x:v>36650652.053333335</x:v>
      </x:c>
      <x:c r="M45" s="8" t="n">
        <x:v>29.326160553158104</x:v>
      </x:c>
      <x:c r="N45" s="8" t="n">
        <x:v>29463438.83796658</x:v>
      </x:c>
      <x:c r="O45" s="8" t="n">
        <x:v>11.614850841051014</x:v>
      </x:c>
      <x:c r="P45" s="8" t="n">
        <x:v>11.5</x:v>
      </x:c>
      <x:c r="Q45" s="3" t="n">
        <x:v>1.525118</x:v>
      </x:c>
      <x:c r="R45" s="3" t="n">
        <x:v>5.859493913751957</x:v>
      </x:c>
      <x:c r="S45" s="3" t="n">
        <x:v>49.73333333333333</x:v>
      </x:c>
      <x:c r="T45" s="3" t="str">
        <x:v>2020Q4 available-month averages</x:v>
      </x:c>
    </x:row>
    <x:row r="46">
      <x:c r="A46" s="3" t="str">
        <x:v>2021Q1</x:v>
      </x:c>
      <x:c r="B46" s="8" t="n">
        <x:v>0.51</x:v>
      </x:c>
      <x:c r="C46" s="8" t="n">
        <x:v>0.11</x:v>
      </x:c>
      <x:c r="D46" s="8" t="n">
        <x:v>1.87</x:v>
      </x:c>
      <x:c r="E46" s="8" t="n">
        <x:v>17.32420377933367</x:v>
      </x:c>
      <x:c r="F46" s="8" t="n">
        <x:v>12.898457680249443</x:v>
      </x:c>
      <x:c r="G46" s="8" t="n">
        <x:v>21.768020565009525</x:v>
      </x:c>
      <x:c r="H46" s="8" t="n">
        <x:v>30.38184644048124</x:v>
      </x:c>
      <x:c r="I46" s="8" t="n">
        <x:v>1.83852385397818</x:v>
      </x:c>
      <x:c r="J46" s="8" t="n">
        <x:v>30.794805473519833</x:v>
      </x:c>
      <x:c r="K46" s="8" t="n">
        <x:v>37.79953030427523</x:v>
      </x:c>
      <x:c r="L46" s="8" t="n">
        <x:v>37999035.26</x:v>
      </x:c>
      <x:c r="M46" s="8" t="n">
        <x:v>27.113775315371782</x:v>
      </x:c>
      <x:c r="N46" s="8" t="n">
        <x:v>30782978.98176373</x:v>
      </x:c>
      <x:c r="O46" s="8" t="n">
        <x:v>12.867443225525918</x:v>
      </x:c>
      <x:c r="P46" s="8" t="n">
        <x:v>11.5</x:v>
      </x:c>
      <x:c r="Q46" s="3" t="n">
        <x:v>1.6204470000000002</x:v>
      </x:c>
      <x:c r="R46" s="3" t="n">
        <x:v>5.961878528001954</x:v>
      </x:c>
      <x:c r="S46" s="3" t="n">
        <x:v>47.46666666666666</x:v>
      </x:c>
      <x:c r="T46" s="3" t="str">
        <x:v>2021Q1 available-month averages</x:v>
      </x:c>
    </x:row>
    <x:row r="47">
      <x:c r="A47" s="3" t="str">
        <x:v>2021Q2</x:v>
      </x:c>
      <x:c r="B47" s="8" t="n">
        <x:v>5.01</x:v>
      </x:c>
      <x:c r="C47" s="8" t="n">
        <x:v>0.51</x:v>
      </x:c>
      <x:c r="D47" s="8" t="n">
        <x:v>-6.1</x:v>
      </x:c>
      <x:c r="E47" s="8" t="n">
        <x:v>17.933524850943417</x:v>
      </x:c>
      <x:c r="F47" s="8" t="n">
        <x:v>13.583190698239122</x:v>
      </x:c>
      <x:c r="G47" s="8" t="n">
        <x:v>22.275026925218175</x:v>
      </x:c>
      <x:c r="H47" s="8" t="n">
        <x:v>11.408156870291316</x:v>
      </x:c>
      <x:c r="I47" s="8" t="n">
        <x:v>2.1646023743787657</x:v>
      </x:c>
      <x:c r="J47" s="8" t="n">
        <x:v>191.84400906449093</x:v>
      </x:c>
      <x:c r="K47" s="8" t="n">
        <x:v>12.3500914479018</x:v>
      </x:c>
      <x:c r="L47" s="8" t="n">
        <x:v>38600104.61666667</x:v>
      </x:c>
      <x:c r="M47" s="8" t="n">
        <x:v>19.657642728790915</x:v>
      </x:c>
      <x:c r="N47" s="8" t="n">
        <x:v>32213437.519923776</x:v>
      </x:c>
      <x:c r="O47" s="8" t="n">
        <x:v>10.071334789129532</x:v>
      </x:c>
      <x:c r="P47" s="8" t="n">
        <x:v>11.5</x:v>
      </x:c>
      <x:c r="Q47" s="3" t="n">
        <x:v>1.5587803333333337</x:v>
      </x:c>
      <x:c r="R47" s="3" t="n">
        <x:v>6.154022627862276</x:v>
      </x:c>
      <x:c r="S47" s="3" t="n">
        <x:v>46.13333333333333</x:v>
      </x:c>
      <x:c r="T47" s="3" t="str">
        <x:v>2021Q2 available-month averages</x:v>
      </x:c>
    </x:row>
    <x:row r="48">
      <x:c r="A48" s="3" t="str">
        <x:v>2021Q3</x:v>
      </x:c>
      <x:c r="B48" s="8" t="n">
        <x:v>4.03</x:v>
      </x:c>
      <x:c r="C48" s="8" t="n">
        <x:v>5.01</x:v>
      </x:c>
      <x:c r="D48" s="8" t="n">
        <x:v>-3.62</x:v>
      </x:c>
      <x:c r="E48" s="8" t="n">
        <x:v>17.005364703249743</x:v>
      </x:c>
      <x:c r="F48" s="8" t="n">
        <x:v>14.263290850177286</x:v>
      </x:c>
      <x:c r="G48" s="8" t="n">
        <x:v>20.301198194320637</x:v>
      </x:c>
      <x:c r="H48" s="8" t="n">
        <x:v>12.692437505531032</x:v>
      </x:c>
      <x:c r="I48" s="8" t="n">
        <x:v>7.295455783287363</x:v>
      </x:c>
      <x:c r="J48" s="8" t="n">
        <x:v>70.54232961657605</x:v>
      </x:c>
      <x:c r="K48" s="8" t="n">
        <x:v>7.606890013641254</x:v>
      </x:c>
      <x:c r="L48" s="8" t="n">
        <x:v>40330950.77666666</x:v>
      </x:c>
      <x:c r="M48" s="8" t="n">
        <x:v>17.993174287117323</x:v>
      </x:c>
      <x:c r="N48" s="8" t="n">
        <x:v>33412968.99058332</x:v>
      </x:c>
      <x:c r="O48" s="8" t="n">
        <x:v>11.003757140872752</x:v>
      </x:c>
      <x:c r="P48" s="8" t="n">
        <x:v>11.5</x:v>
      </x:c>
      <x:c r="Q48" s="3" t="n">
        <x:v>1.4854470000000004</x:v>
      </x:c>
      <x:c r="R48" s="3" t="n">
        <x:v>5.81240088694472</x:v>
      </x:c>
      <x:c r="S48" s="3" t="n">
        <x:v>46.699999999999996</x:v>
      </x:c>
      <x:c r="T48" s="3" t="str">
        <x:v>2021Q3 available-month averages</x:v>
      </x:c>
    </x:row>
    <x:row r="49">
      <x:c r="A49" s="3" t="str">
        <x:v>2021Q4</x:v>
      </x:c>
      <x:c r="B49" s="8" t="n">
        <x:v>3.9800000000000004</x:v>
      </x:c>
      <x:c r="C49" s="8" t="n">
        <x:v>4.03</x:v>
      </x:c>
      <x:c r="D49" s="8" t="n">
        <x:v>0.11</x:v>
      </x:c>
      <x:c r="E49" s="8" t="n">
        <x:v>15.671590224474485</x:v>
      </x:c>
      <x:c r="F49" s="8" t="n">
        <x:v>14.179722846268687</x:v>
      </x:c>
      <x:c r="G49" s="8" t="n">
        <x:v>17.639335055414826</x:v>
      </x:c>
      <x:c r="H49" s="8" t="n">
        <x:v>20.934505426488382</x:v>
      </x:c>
      <x:c r="I49" s="8" t="n">
        <x:v>8.303987363990961</x:v>
      </x:c>
      <x:c r="J49" s="8" t="n">
        <x:v>84.32285876051209</x:v>
      </x:c>
      <x:c r="K49" s="8" t="n">
        <x:v>9.05560665204912</x:v>
      </x:c>
      <x:c r="L49" s="8" t="n">
        <x:v>42630677.07666667</x:v>
      </x:c>
      <x:c r="M49" s="8" t="n">
        <x:v>16.315717550084283</x:v>
      </x:c>
      <x:c r="N49" s="8" t="n">
        <x:v>34973292.02061499</x:v>
      </x:c>
      <x:c r="O49" s="8" t="n">
        <x:v>18.711962241125544</x:v>
      </x:c>
      <x:c r="P49" s="8" t="n">
        <x:v>11.5</x:v>
      </x:c>
      <x:c r="Q49" s="3" t="n">
        <x:v>1.4491136666666666</x:v>
      </x:c>
      <x:c r="R49" s="3" t="n">
        <x:v>6.804785922738197</x:v>
      </x:c>
      <x:c r="S49" s="3" t="n">
        <x:v>50.03333333333333</x:v>
      </x:c>
      <x:c r="T49" s="3" t="str">
        <x:v>2021Q4 available-month averages</x:v>
      </x:c>
    </x:row>
    <x:row r="50">
      <x:c r="A50" s="3" t="str">
        <x:v>2022Q1</x:v>
      </x:c>
      <x:c r="B50" s="8" t="n">
        <x:v>3.11</x:v>
      </x:c>
      <x:c r="C50" s="8" t="n">
        <x:v>3.9800000000000004</x:v>
      </x:c>
      <x:c r="D50" s="8" t="n">
        <x:v>0.51</x:v>
      </x:c>
      <x:c r="E50" s="8" t="n">
        <x:v>15.739381156893158</x:v>
      </x:c>
      <x:c r="F50" s="8" t="n">
        <x:v>14.163934251541344</x:v>
      </x:c>
      <x:c r="G50" s="8" t="n">
        <x:v>17.145855115317712</x:v>
      </x:c>
      <x:c r="H50" s="8" t="n">
        <x:v>20.2104561845528</x:v>
      </x:c>
      <x:c r="I50" s="8" t="n">
        <x:v>1.2540662463730534</x:v>
      </x:c>
      <x:c r="J50" s="8" t="n">
        <x:v>68.63823876112616</x:v>
      </x:c>
      <x:c r="K50" s="8" t="n">
        <x:v>28.33627465759325</x:v>
      </x:c>
      <x:c r="L50" s="8" t="n">
        <x:v>45176504.030243225</x:v>
      </x:c>
      <x:c r="M50" s="8" t="n">
        <x:v>18.880196821818696</x:v>
      </x:c>
      <x:c r="N50" s="8" t="n">
        <x:v>35879357.8217878</x:v>
      </x:c>
      <x:c r="O50" s="8" t="n">
        <x:v>16.56056252729449</x:v>
      </x:c>
      <x:c r="P50" s="8" t="n">
        <x:v>11.5</x:v>
      </x:c>
      <x:c r="Q50" s="3" t="n">
        <x:v>1.2979553504135943</x:v>
      </x:c>
      <x:c r="R50" s="3" t="n">
        <x:v>9.707974602541286</x:v>
      </x:c>
      <x:c r="S50" s="3" t="n">
        <x:v>50.5093596075636</x:v>
      </x:c>
      <x:c r="T50" s="3" t="str">
        <x:v>2022Q1 available-month averages</x:v>
      </x:c>
    </x:row>
    <x:row r="51">
      <x:c r="A51" s="3" t="str">
        <x:v>2022Q2</x:v>
      </x:c>
      <x:c r="B51" s="8" t="n">
        <x:v>3.54</x:v>
      </x:c>
      <x:c r="C51" s="8" t="n">
        <x:v>3.11</x:v>
      </x:c>
      <x:c r="D51" s="8" t="n">
        <x:v>5.01</x:v>
      </x:c>
      <x:c r="E51" s="8" t="n">
        <x:v>17.708742483442762</x:v>
      </x:c>
      <x:c r="F51" s="8" t="n">
        <x:v>14.894586085950165</x:v>
      </x:c>
      <x:c r="G51" s="8" t="n">
        <x:v>19.48916765525559</x:v>
      </x:c>
      <x:c r="H51" s="8" t="n">
        <x:v>22.132715553883546</x:v>
      </x:c>
      <x:c r="I51" s="8" t="n">
        <x:v>3.7916288683898625</x:v>
      </x:c>
      <x:c r="J51" s="8" t="n">
        <x:v>71.6329461641793</x:v>
      </x:c>
      <x:c r="K51" s="8" t="n">
        <x:v>14.130312111380228</x:v>
      </x:c>
      <x:c r="L51" s="8" t="n">
        <x:v>48185866.07025542</x:v>
      </x:c>
      <x:c r="M51" s="8" t="n">
        <x:v>24.827752417453183</x:v>
      </x:c>
      <x:c r="N51" s="8" t="n">
        <x:v>38379660.56744966</x:v>
      </x:c>
      <x:c r="O51" s="8" t="n">
        <x:v>19.131938188929524</x:v>
      </x:c>
      <x:c r="P51" s="8" t="n">
        <x:v>12.5</x:v>
      </x:c>
      <x:c r="Q51" s="3" t="n">
        <x:v>1.1339531203476703</x:v>
      </x:c>
      <x:c r="R51" s="3" t="n">
        <x:v>9.463172523282756</x:v>
      </x:c>
      <x:c r="S51" s="3" t="n">
        <x:v>51.10014274967906</x:v>
      </x:c>
      <x:c r="T51" s="3" t="str">
        <x:v>2022Q2 available-month averages</x:v>
      </x:c>
    </x:row>
    <x:row r="52">
      <x:c r="A52" s="3" t="str">
        <x:v>2022Q3</x:v>
      </x:c>
      <x:c r="B52" s="8" t="n">
        <x:v>2.25</x:v>
      </x:c>
      <x:c r="C52" s="8" t="n">
        <x:v>3.54</x:v>
      </x:c>
      <x:c r="D52" s="8" t="n">
        <x:v>4.03</x:v>
      </x:c>
      <x:c r="E52" s="8" t="n">
        <x:v>20.313850135148794</x:v>
      </x:c>
      <x:c r="F52" s="8" t="n">
        <x:v>16.890948345418987</x:v>
      </x:c>
      <x:c r="G52" s="8" t="n">
        <x:v>22.825094061419364</x:v>
      </x:c>
      <x:c r="H52" s="8" t="n">
        <x:v>29.360475046550068</x:v>
      </x:c>
      <x:c r="I52" s="8" t="n">
        <x:v>13.656984307984054</x:v>
      </x:c>
      <x:c r="J52" s="8" t="n">
        <x:v>44.73546119367544</x:v>
      </x:c>
      <x:c r="K52" s="8" t="n">
        <x:v>-9.396408686836022</x:v>
      </x:c>
      <x:c r="L52" s="8" t="n">
        <x:v>48979326.96188161</x:v>
      </x:c>
      <x:c r="M52" s="8" t="n">
        <x:v>21.445850981501327</x:v>
      </x:c>
      <x:c r="N52" s="8" t="n">
        <x:v>40190708.64636896</x:v>
      </x:c>
      <x:c r="O52" s="8" t="n">
        <x:v>20.294951891032927</x:v>
      </x:c>
      <x:c r="P52" s="8" t="n">
        <x:v>14.5</x:v>
      </x:c>
      <x:c r="Q52" s="3" t="n">
        <x:v>0.9979664325806451</x:v>
      </x:c>
      <x:c r="R52" s="3" t="n">
        <x:v>11.559191951069431</x:v>
      </x:c>
      <x:c r="S52" s="3" t="n">
        <x:v>49.28923924917194</x:v>
      </x:c>
      <x:c r="T52" s="3" t="str">
        <x:v>2022Q3 available-month averages</x:v>
      </x:c>
    </x:row>
    <x:row r="53">
      <x:c r="A53" s="3" t="str">
        <x:v>2022Q4</x:v>
      </x:c>
      <x:c r="B53" s="8" t="n">
        <x:v>3.52</x:v>
      </x:c>
      <x:c r="C53" s="8" t="n">
        <x:v>2.25</x:v>
      </x:c>
      <x:c r="D53" s="8" t="n">
        <x:v>3.9800000000000004</x:v>
      </x:c>
      <x:c r="E53" s="8" t="n">
        <x:v>21.298849536818057</x:v>
      </x:c>
      <x:c r="F53" s="8" t="n">
        <x:v>17.915639979800634</x:v>
      </x:c>
      <x:c r="G53" s="8" t="n">
        <x:v>23.869156736119262</x:v>
      </x:c>
      <x:c r="H53" s="8" t="n">
        <x:v>34.83785203906758</x:v>
      </x:c>
      <x:c r="I53" s="8" t="n">
        <x:v>12.827825955614468</x:v>
      </x:c>
      <x:c r="J53" s="8" t="n">
        <x:v>12.83690732866795</x:v>
      </x:c>
      <x:c r="K53" s="8" t="n">
        <x:v>-14.898930924355502</x:v>
      </x:c>
      <x:c r="L53" s="8" t="n">
        <x:v>51369054.22648481</x:v>
      </x:c>
      <x:c r="M53" s="8" t="n">
        <x:v>20.5335926308431</x:v>
      </x:c>
      <x:c r="N53" s="8" t="n">
        <x:v>41599641.20410045</x:v>
      </x:c>
      <x:c r="O53" s="8" t="n">
        <x:v>18.950867324892283</x:v>
      </x:c>
      <x:c r="P53" s="8" t="n">
        <x:v>16.166666666666668</x:v>
      </x:c>
      <x:c r="Q53" s="3" t="n">
        <x:v>1.1466666666666667</x:v>
      </x:c>
      <x:c r="R53" s="3" t="n">
        <x:v>12.536963465543167</x:v>
      </x:c>
      <x:c r="S53" s="3" t="n">
        <x:v>50.38754647878235</x:v>
      </x:c>
      <x:c r="T53" s="3" t="str">
        <x:v>2022Q4 available-month averages</x:v>
      </x:c>
    </x:row>
    <x:row r="54">
      <x:c r="A54" s="3" t="str">
        <x:v>2023Q1</x:v>
      </x:c>
      <x:c r="B54" s="8" t="n">
        <x:v>2.31</x:v>
      </x:c>
      <x:c r="C54" s="8" t="n">
        <x:v>3.52</x:v>
      </x:c>
      <x:c r="D54" s="8" t="n">
        <x:v>3.11</x:v>
      </x:c>
      <x:c r="E54" s="8" t="n">
        <x:v>21.92311091560673</x:v>
      </x:c>
      <x:c r="F54" s="8" t="n">
        <x:v>18.95895608556332</x:v>
      </x:c>
      <x:c r="G54" s="8" t="n">
        <x:v>24.3724486219067</x:v>
      </x:c>
      <x:c r="H54" s="8" t="n">
        <x:v>31.35214651545172</x:v>
      </x:c>
      <x:c r="I54" s="8" t="n">
        <x:v>-1.3162788856320828</x:v>
      </x:c>
      <x:c r="J54" s="8" t="n">
        <x:v>-17.0552816048707</x:v>
      </x:c>
      <x:c r="K54" s="8" t="n">
        <x:v>-7.521198105935467</x:v>
      </x:c>
      <x:c r="L54" s="8" t="n">
        <x:v>53305116.75194206</x:v>
      </x:c>
      <x:c r="M54" s="8" t="n">
        <x:v>18.016017141131453</x:v>
      </x:c>
      <x:c r="N54" s="8" t="n">
        <x:v>43543975.01090503</x:v>
      </x:c>
      <x:c r="O54" s="8" t="n">
        <x:v>21.363561029616836</x:v>
      </x:c>
      <x:c r="P54" s="8" t="n">
        <x:v>17.666666666666668</x:v>
      </x:c>
      <x:c r="Q54" s="3" t="n">
        <x:v>1.28</x:v>
      </x:c>
      <x:c r="R54" s="3" t="n">
        <x:v>19.237559496222033</x:v>
      </x:c>
      <x:c r="S54" s="3" t="n">
        <x:v>44.65622052180637</x:v>
      </x:c>
      <x:c r="T54" s="3" t="str">
        <x:v>2023Q1 available-month averages</x:v>
      </x:c>
    </x:row>
    <x:row r="55">
      <x:c r="A55" s="3" t="str">
        <x:v>2023Q2</x:v>
      </x:c>
      <x:c r="B55" s="8" t="n">
        <x:v>2.5100000000000002</x:v>
      </x:c>
      <x:c r="C55" s="8" t="n">
        <x:v>2.31</x:v>
      </x:c>
      <x:c r="D55" s="8" t="n">
        <x:v>3.54</x:v>
      </x:c>
      <x:c r="E55" s="8" t="n">
        <x:v>22.475048378262244</x:v>
      </x:c>
      <x:c r="F55" s="8" t="n">
        <x:v>19.95354722283716</x:v>
      </x:c>
      <x:c r="G55" s="8" t="n">
        <x:v>24.89584902153797</x:v>
      </x:c>
      <x:c r="H55" s="8" t="n">
        <x:v>26.289543362454296</x:v>
      </x:c>
      <x:c r="I55" s="8" t="n">
        <x:v>-0.2055745999717029</x:v>
      </x:c>
      <x:c r="J55" s="8" t="n">
        <x:v>-31.221216800990437</x:v>
      </x:c>
      <x:c r="K55" s="8" t="n">
        <x:v>-4.560788282924511</x:v>
      </x:c>
      <x:c r="L55" s="8" t="n">
        <x:v>58791653.71001336</x:v>
      </x:c>
      <x:c r="M55" s="8" t="n">
        <x:v>21.945002170229753</x:v>
      </x:c>
      <x:c r="N55" s="8" t="n">
        <x:v>48425090.852949895</x:v>
      </x:c>
      <x:c r="O55" s="8" t="n">
        <x:v>26.031168343349094</x:v>
      </x:c>
      <x:c r="P55" s="8" t="n">
        <x:v>18.333333333333332</x:v>
      </x:c>
      <x:c r="Q55" s="3" t="n">
        <x:v>1.1437509127706076</x:v>
      </x:c>
      <x:c r="R55" s="3" t="n">
        <x:v>10.972563710210219</x:v>
      </x:c>
      <x:c r="S55" s="3" t="n">
        <x:v>52.04312443170132</x:v>
      </x:c>
      <x:c r="T55" s="3" t="str">
        <x:v>2023Q2 available-month averages</x:v>
      </x:c>
    </x:row>
    <x:row r="56">
      <x:c r="A56" s="3" t="str">
        <x:v>2023Q3</x:v>
      </x:c>
      <x:c r="B56" s="8" t="n">
        <x:v>2.54</x:v>
      </x:c>
      <x:c r="C56" s="8" t="n">
        <x:v>2.5100000000000002</x:v>
      </x:c>
      <x:c r="D56" s="8" t="n">
        <x:v>2.25</x:v>
      </x:c>
      <x:c r="E56" s="8" t="n">
        <x:v>25.531075650372927</x:v>
      </x:c>
      <x:c r="F56" s="8" t="n">
        <x:v>21.154813233664132</x:v>
      </x:c>
      <x:c r="G56" s="8" t="n">
        <x:v>28.984928072204486</x:v>
      </x:c>
      <x:c r="H56" s="8" t="n">
        <x:v>31.96101233803074</x:v>
      </x:c>
      <x:c r="I56" s="8" t="n">
        <x:v>18.842983356155507</x:v>
      </x:c>
      <x:c r="J56" s="8" t="n">
        <x:v>-14.168252967174524</x:v>
      </x:c>
      <x:c r="K56" s="8" t="n">
        <x:v>12.177377749303343</x:v>
      </x:c>
      <x:c r="L56" s="8" t="n">
        <x:v>65711006.52502686</x:v>
      </x:c>
      <x:c r="M56" s="8" t="n">
        <x:v>34.16834333891936</x:v>
      </x:c>
      <x:c r="N56" s="8" t="n">
        <x:v>57638864.06876266</x:v>
      </x:c>
      <x:c r="O56" s="8" t="n">
        <x:v>43.39940241218019</x:v>
      </x:c>
      <x:c r="P56" s="8" t="n">
        <x:v>18.75</x:v>
      </x:c>
      <x:c r="Q56" s="3" t="n">
        <x:v>1.2033333333333334</x:v>
      </x:c>
      <x:c r="R56" s="3" t="n">
        <x:v>12.150105013631832</x:v>
      </x:c>
      <x:c r="S56" s="3" t="n">
        <x:v>45.584598127698534</x:v>
      </x:c>
      <x:c r="T56" s="3" t="str">
        <x:v>2023Q3 available-month averages</x:v>
      </x:c>
    </x:row>
    <x:row r="57">
      <x:c r="A57" s="3" t="str">
        <x:v>2023Q4</x:v>
      </x:c>
      <x:c r="B57" s="8" t="n">
        <x:v>3.46</x:v>
      </x:c>
      <x:c r="C57" s="8" t="n">
        <x:v>2.54</x:v>
      </x:c>
      <x:c r="D57" s="8" t="n">
        <x:v>3.52</x:v>
      </x:c>
      <x:c r="E57" s="8" t="n">
        <x:v>28.150561965587894</x:v>
      </x:c>
      <x:c r="F57" s="8" t="n">
        <x:v>22.64516864547669</x:v>
      </x:c>
      <x:c r="G57" s="8" t="n">
        <x:v>32.76503361794817</x:v>
      </x:c>
      <x:c r="H57" s="8" t="n">
        <x:v>49.76313003933161</x:v>
      </x:c>
      <x:c r="I57" s="8" t="n">
        <x:v>27.758043328022474</x:v>
      </x:c>
      <x:c r="J57" s="8" t="n">
        <x:v>-4.655605498722237</x:v>
      </x:c>
      <x:c r="K57" s="8" t="n">
        <x:v>-3.688874059244429</x:v>
      </x:c>
      <x:c r="L57" s="8" t="n">
        <x:v>74278437.7636922</x:v>
      </x:c>
      <x:c r="M57" s="8" t="n">
        <x:v>44.58494251715845</x:v>
      </x:c>
      <x:c r="N57" s="8" t="n">
        <x:v>61931170.54808619</x:v>
      </x:c>
      <x:c r="O57" s="8" t="n">
        <x:v>48.92303603589564</x:v>
      </x:c>
      <x:c r="P57" s="8" t="n">
        <x:v>18.75</x:v>
      </x:c>
      <x:c r="Q57" s="3" t="n">
        <x:v>1.3133333333333335</x:v>
      </x:c>
      <x:c r="R57" s="3" t="n">
        <x:v>12.7245979429673</x:v>
      </x:c>
      <x:c r="S57" s="3" t="n">
        <x:v>45.99855</x:v>
      </x:c>
      <x:c r="T57" s="3" t="str">
        <x:v>2023Q4 available-month averages</x:v>
      </x:c>
    </x:row>
    <x:row r="58">
      <x:c r="A58" s="3" t="str">
        <x:v>2024Q1</x:v>
      </x:c>
      <x:c r="B58" s="8" t="n">
        <x:v>2.98</x:v>
      </x:c>
      <x:c r="C58" s="8" t="n">
        <x:v>3.46</x:v>
      </x:c>
      <x:c r="D58" s="8" t="n">
        <x:v>2.31</x:v>
      </x:c>
      <x:c r="E58" s="8" t="n">
        <x:v>31.59957462408576</x:v>
      </x:c>
      <x:c r="F58" s="8" t="n">
        <x:v>24.872051770021503</x:v>
      </x:c>
      <x:c r="G58" s="8" t="n">
        <x:v>37.78354787025712</x:v>
      </x:c>
      <x:c r="H58" s="8" t="n">
        <x:v>91.6589662497526</x:v>
      </x:c>
      <x:c r="I58" s="8" t="n">
        <x:v>26.532885647585005</x:v>
      </x:c>
      <x:c r="J58" s="8" t="n">
        <x:v>2.149061532468758</x:v>
      </x:c>
      <x:c r="K58" s="8" t="n">
        <x:v>-1.0470398029101657</x:v>
      </x:c>
      <x:c r="L58" s="8" t="n">
        <x:v>62439651.87500232</x:v>
      </x:c>
      <x:c r="M58" s="8" t="n">
        <x:v>17.186694584619634</x:v>
      </x:c>
      <x:c r="N58" s="8" t="n">
        <x:v>76484278.4448945</x:v>
      </x:c>
      <x:c r="O58" s="8" t="n">
        <x:v>75.74230863708196</x:v>
      </x:c>
      <x:c r="P58" s="8" t="n">
        <x:v>22.083333333333332</x:v>
      </x:c>
      <x:c r="Q58" s="3" t="n">
        <x:v>1.3266666666666667</x:v>
      </x:c>
      <x:c r="R58" s="3" t="n">
        <x:v>19.400376975085432</x:v>
      </x:c>
      <x:c r="S58" s="3" t="n">
        <x:v>43.48934666666667</x:v>
      </x:c>
      <x:c r="T58" s="3" t="str">
        <x:v>2024Q1 available-month averages</x:v>
      </x:c>
    </x:row>
    <x:row r="59">
      <x:c r="A59" s="3" t="str">
        <x:v>2024Q2</x:v>
      </x:c>
      <x:c r="B59" s="8" t="n">
        <x:v>3.19</x:v>
      </x:c>
      <x:c r="C59" s="8" t="n">
        <x:v>2.98</x:v>
      </x:c>
      <x:c r="D59" s="8" t="n">
        <x:v>2.5100000000000002</x:v>
      </x:c>
      <x:c r="E59" s="8" t="n">
        <x:v>33.94645040534925</x:v>
      </x:c>
      <x:c r="F59" s="8" t="n">
        <x:v>27.092615144827914</x:v>
      </x:c>
      <x:c r="G59" s="8" t="n">
        <x:v>40.68779371045622</x:v>
      </x:c>
      <x:c r="H59" s="8" t="n">
        <x:v>84.3668950601674</x:v>
      </x:c>
      <x:c r="I59" s="8" t="n">
        <x:v>-3.9833459544448835</x:v>
      </x:c>
      <x:c r="J59" s="8" t="n">
        <x:v>8.488016682074152</x:v>
      </x:c>
      <x:c r="K59" s="8" t="n">
        <x:v>1.4432428226873073</x:v>
      </x:c>
      <x:c r="L59" s="8" t="n">
        <x:v>64972475.34403834</x:v>
      </x:c>
      <x:c r="M59" s="8" t="n">
        <x:v>11.069158515690427</x:v>
      </x:c>
      <x:c r="N59" s="8" t="n">
        <x:v>73444646.11179267</x:v>
      </x:c>
      <x:c r="O59" s="8" t="n">
        <x:v>52.87784420857478</x:v>
      </x:c>
      <x:c r="P59" s="8" t="n">
        <x:v>25.75</x:v>
      </x:c>
      <x:c r="Q59" s="3" t="n">
        <x:v>1.2700000000000002</x:v>
      </x:c>
      <x:c r="R59" s="3" t="n">
        <x:v>15.772849309285034</x:v>
      </x:c>
      <x:c r="S59" s="3" t="n">
        <x:v>48.01579053897757</x:v>
      </x:c>
      <x:c r="T59" s="3" t="str">
        <x:v>2024Q2 available-month averages</x:v>
      </x:c>
    </x:row>
    <x:row r="60">
      <x:c r="A60" s="3" t="str">
        <x:v>2024Q3</x:v>
      </x:c>
      <x:c r="B60" s="8" t="n">
        <x:v>3.8600000000000003</x:v>
      </x:c>
      <x:c r="C60" s="8" t="n">
        <x:v>3.19</x:v>
      </x:c>
      <x:c r="D60" s="8" t="n">
        <x:v>2.54</x:v>
      </x:c>
      <x:c r="E60" s="8" t="n">
        <x:v>32.74721998599514</x:v>
      </x:c>
      <x:c r="F60" s="8" t="n">
        <x:v>27.491889256402487</x:v>
      </x:c>
      <x:c r="G60" s="8" t="n">
        <x:v>38.27633691200912</x:v>
      </x:c>
      <x:c r="H60" s="8" t="n">
        <x:v>80.15437907377378</x:v>
      </x:c>
      <x:c r="I60" s="8" t="n">
        <x:v>15.843329188128896</x:v>
      </x:c>
      <x:c r="J60" s="8" t="n">
        <x:v>-7.874664988900886</x:v>
      </x:c>
      <x:c r="K60" s="8" t="n">
        <x:v>-5.583464355562384</x:v>
      </x:c>
      <x:c r="L60" s="8" t="n">
        <x:v>72430456.2725199</x:v>
      </x:c>
      <x:c r="M60" s="8" t="n">
        <x:v>10.221782191043468</x:v>
      </x:c>
      <x:c r="N60" s="8" t="n">
        <x:v>74988596.48384653</x:v>
      </x:c>
      <x:c r="O60" s="8" t="n">
        <x:v>30.159213264922528</x:v>
      </x:c>
      <x:c r="P60" s="8" t="n">
        <x:v>26.916666666666668</x:v>
      </x:c>
      <x:c r="Q60" s="3" t="n">
        <x:v>1.3266666666666669</x:v>
      </x:c>
      <x:c r="R60" s="3" t="n">
        <x:v>18.002636671650468</x:v>
      </x:c>
      <x:c r="S60" s="3" t="n">
        <x:v>50.13954918171908</x:v>
      </x:c>
      <x:c r="T60" s="3" t="str">
        <x:v>2024Q3 available-month averages</x:v>
      </x:c>
    </x:row>
    <x:row r="61">
      <x:c r="A61" s="3" t="str">
        <x:v>2024Q4</x:v>
      </x:c>
      <x:c r="B61" s="8" t="n">
        <x:v>3.84</x:v>
      </x:c>
      <x:c r="C61" s="8" t="n">
        <x:v>3.8600000000000003</x:v>
      </x:c>
      <x:c r="D61" s="8" t="n">
        <x:v>3.46</x:v>
      </x:c>
      <x:c r="E61" s="8" t="n">
        <x:v>34.42375446660557</x:v>
      </x:c>
      <x:c r="F61" s="8" t="n">
        <x:v>28.798504089155987</x:v>
      </x:c>
      <x:c r="G61" s="8" t="n">
        <x:v>39.64150450956018</x:v>
      </x:c>
      <x:c r="H61" s="8" t="n">
        <x:v>49.673592752534745</x:v>
      </x:c>
      <x:c r="I61" s="8" t="n">
        <x:v>6.105873821697205</x:v>
      </x:c>
      <x:c r="J61" s="8" t="n">
        <x:v>-11.89323714731133</x:v>
      </x:c>
      <x:c r="K61" s="8" t="n">
        <x:v>-7.469233581089307</x:v>
      </x:c>
      <x:c r="L61" s="8" t="n">
        <x:v>73483325.87833482</x:v>
      </x:c>
      <x:c r="M61" s="8" t="n">
        <x:v>-0.9279221823291955</x:v>
      </x:c>
      <x:c r="N61" s="8" t="n">
        <x:v>75788709.00732121</x:v>
      </x:c>
      <x:c r="O61" s="8" t="n">
        <x:v>22.47646787162782</x:v>
      </x:c>
      <x:c r="P61" s="8" t="n">
        <x:v>27.416666666666668</x:v>
      </x:c>
      <x:c r="Q61" s="3" t="n">
        <x:v>1.3833333333333335</x:v>
      </x:c>
      <x:c r="R61" s="3" t="n">
        <x:v>14.634732584616236</x:v>
      </x:c>
      <x:c r="S61" s="3" t="n">
        <x:v>49.84497510758586</x:v>
      </x:c>
      <x:c r="T61" s="3" t="str">
        <x:v>2024Q4 available-month averages</x:v>
      </x:c>
    </x:row>
    <x:row r="62">
      <x:c r="A62" s="3" t="str">
        <x:v>2025Q1</x:v>
      </x:c>
      <x:c r="B62" s="8" t="n">
        <x:v>3.1300000000000003</x:v>
      </x:c>
      <x:c r="C62" s="8" t="n">
        <x:v>3.84</x:v>
      </x:c>
      <x:c r="D62" s="8" t="n">
        <x:v>2.98</x:v>
      </x:c>
      <x:c r="E62" s="8" t="n">
        <x:v>27.076876406319133</x:v>
      </x:c>
      <x:c r="F62" s="8" t="n">
        <x:v>-78.47404744194924</x:v>
      </x:c>
      <x:c r="G62" s="8" t="n">
        <x:v>-86.72290464516281</x:v>
      </x:c>
      <x:c r="H62" s="8" t="n">
        <x:v>10.68065352009772</x:v>
      </x:c>
      <x:c r="I62" s="8" t="n">
        <x:v>-6.810934830240212</x:v>
      </x:c>
      <x:c r="J62" s="8" t="n">
        <x:v>-11.860107364269732</x:v>
      </x:c>
      <x:c r="K62" s="8" t="n">
        <x:v>-0.6452462470371234</x:v>
      </x:c>
      <x:c r="L62" s="8" t="n">
        <x:v>74323431.544668</x:v>
      </x:c>
      <x:c r="M62" s="8" t="n">
        <x:v>19.19392562841713</x:v>
      </x:c>
      <x:c r="N62" s="8" t="n">
        <x:v>76291170.58667858</x:v>
      </x:c>
      <x:c r="O62" s="8" t="n">
        <x:v>0.021784961375418632</x:v>
      </x:c>
      <x:c r="P62" s="8" t="n">
        <x:v>27.5</x:v>
      </x:c>
      <x:c r="Q62" s="3" t="n">
        <x:v>1.45</x:v>
      </x:c>
      <x:c r="R62" s="3" t="n">
        <x:v>12.080449176775943</x:v>
      </x:c>
      <x:c r="S62" s="3" t="n">
        <x:v>51.29999999999999</x:v>
      </x:c>
      <x:c r="T62" s="3" t="str">
        <x:v>2025Q1 available-month averages</x:v>
      </x:c>
    </x:row>
    <x:row r="63">
      <x:c r="A63" s="3" t="str">
        <x:v>2025Q2</x:v>
      </x:c>
      <x:c r="B63" s="8" t="n">
        <x:v>4.2299999999999995</x:v>
      </x:c>
      <x:c r="C63" s="8" t="n">
        <x:v>3.1300000000000003</x:v>
      </x:c>
      <x:c r="D63" s="8" t="n">
        <x:v>3.19</x:v>
      </x:c>
      <x:c r="E63" s="8" t="n">
        <x:v>26.054635826567363</x:v>
      </x:c>
      <x:c r="F63" s="8" t="n">
        <x:v>-78.52999245469051</x:v>
      </x:c>
      <x:c r="G63" s="8" t="n">
        <x:v>-87.07098525123295</x:v>
      </x:c>
      <x:c r="H63" s="8" t="n">
        <x:v>16.62860040554263</x:v>
      </x:c>
      <x:c r="I63" s="8" t="n">
        <x:v>1.20132182689483</x:v>
      </x:c>
      <x:c r="J63" s="8" t="n">
        <x:v>-19.83485425217914</x:v>
      </x:c>
      <x:c r="K63" s="8" t="n">
        <x:v>-7.898277004638832</x:v>
      </x:c>
      <x:c r="L63" s="8" t="n">
        <x:v>78091308.53114425</x:v>
      </x:c>
      <x:c r="M63" s="8" t="n">
        <x:v>20.21592371575866</x:v>
      </x:c>
      <x:c r="N63" s="8" t="n">
        <x:v>77386904.17750688</x:v>
      </x:c>
      <x:c r="O63" s="8" t="n">
        <x:v>5.3699467903492115</x:v>
      </x:c>
      <x:c r="P63" s="8" t="n">
        <x:v>27.5</x:v>
      </x:c>
      <x:c r="Q63" s="3" t="n">
        <x:v>1.4828033333333333</x:v>
      </x:c>
      <x:c r="R63" s="3" t="n">
        <x:v>10.8658886485524</x:v>
      </x:c>
      <x:c r="S63" s="3" t="n">
        <x:v>52.20000000000001</x:v>
      </x:c>
      <x:c r="T63" s="3" t="str">
        <x:v>2025Q2 available-month averages</x:v>
      </x:c>
    </x:row>
    <x:row r="64">
      <x:c r="A64" s="3" t="str">
        <x:v>2025Q3</x:v>
      </x:c>
      <x:c r="B64" s="8" t="n">
        <x:v>3.9800000000000004</x:v>
      </x:c>
      <x:c r="C64" s="8" t="n">
        <x:v>4.2299999999999995</x:v>
      </x:c>
      <x:c r="D64" s="8" t="n">
        <x:v>3.8600000000000003</x:v>
      </x:c>
      <x:c r="E64" s="8" t="n">
        <x:v>23.021004018595466</x:v>
      </x:c>
      <x:c r="F64" s="8" t="n">
        <x:v>-79.06750192698011</x:v>
      </x:c>
      <x:c r="G64" s="8" t="n">
        <x:v>-87.42590056118938</x:v>
      </x:c>
      <x:c r="H64" s="8" t="n">
        <x:v>-4.0761327161608145</x:v>
      </x:c>
      <x:c r="I64" s="8" t="n">
        <x:v>-4.235677584992192</x:v>
      </x:c>
      <x:c r="J64" s="8" t="n">
        <x:v>-12.908047317419445</x:v>
      </x:c>
      <x:c r="K64" s="8" t="n">
        <x:v>2.617974334713602</x:v>
      </x:c>
      <x:c r="L64" s="8" t="n">
        <x:v>79662466.03892426</x:v>
      </x:c>
      <x:c r="M64" s="8" t="n">
        <x:v>10.010544387244499</x:v>
      </x:c>
      <x:c r="N64" s="8" t="n">
        <x:v>75035827.46562274</x:v>
      </x:c>
      <x:c r="O64" s="8" t="n">
        <x:v>0.07487698567700818</x:v>
      </x:c>
      <x:c r="P64" s="8" t="n">
        <x:v>27.333333333333332</x:v>
      </x:c>
      <x:c r="Q64" s="3" t="n">
        <x:v>1.4433333333333334</x:v>
      </x:c>
      <x:c r="R64" s="3" t="n">
        <x:v>9.929836140494492</x:v>
      </x:c>
      <x:c r="S64" s="3" t="n">
        <x:v>52.800000000000004</x:v>
      </x:c>
      <x:c r="T64" s="3" t="str">
        <x:v>2025Q3 available-month averages</x:v>
      </x:c>
    </x:row>
    <x:row r="65">
      <x:c r="A65" s="3" t="str">
        <x:v>2025Q4</x:v>
      </x:c>
      <x:c r="B65" s="8" t="n">
        <x:v>4.07</x:v>
      </x:c>
      <x:c r="C65" s="8" t="n">
        <x:v>3.9800000000000004</x:v>
      </x:c>
      <x:c r="D65" s="8" t="n">
        <x:v>3.84</x:v>
      </x:c>
      <x:c r="E65" s="8" t="n">
        <x:v>17.148663523496904</x:v>
      </x:c>
      <x:c r="F65" s="8" t="n">
        <x:v>-79.83479799627793</x:v>
      </x:c>
      <x:c r="G65" s="8" t="n">
        <x:v>-88.06362753508525</x:v>
      </x:c>
      <x:c r="H65" s="8" t="n">
        <x:v>-13.282879301652569</x:v>
      </x:c>
      <x:c r="I65" s="8" t="n">
        <x:v>-4.0262699068515095</x:v>
      </x:c>
      <x:c r="J65" s="8" t="n">
        <x:v>-14.201258678204768</x:v>
      </x:c>
      <x:c r="K65" s="8" t="n">
        <x:v>-8.633665217594544</x:v>
      </x:c>
      <x:c r="L65" s="8" t="n">
        <x:v>81712810.77768947</x:v>
      </x:c>
      <x:c r="M65" s="8" t="n">
        <x:v>11.204818846401883</x:v>
      </x:c>
      <x:c r="N65" s="8" t="n">
        <x:v>81329622.87630601</x:v>
      </x:c>
      <x:c r="O65" s="8" t="n">
        <x:v>7.1212222550374875</x:v>
      </x:c>
      <x:c r="P65" s="8" t="n">
        <x:v>27</x:v>
      </x:c>
      <x:c r="Q65" s="3" t="n">
        <x:v>1.514333333333333</x:v>
      </x:c>
      <x:c r="R65" s="3" t="n">
        <x:v>10.53455720706128</x:v>
      </x:c>
      <x:c r="S65" s="3" t="n">
        <x:v>56.46666666666667</x:v>
      </x:c>
      <x:c r="T65" s="3" t="str">
        <x:v>2025Q4 available-month averages</x:v>
      </x:c>
    </x:row>
    <x:row r="66">
      <x:c r="A66" s="3" t="str">
        <x:v>2026Q1</x:v>
      </x:c>
      <x:c r="B66" s="8" t="n">
        <x:v>3.8899999999999997</x:v>
      </x:c>
      <x:c r="C66" s="8" t="n">
        <x:v>4.07</x:v>
      </x:c>
      <x:c r="D66" s="8" t="n">
        <x:v>3.1300000000000003</x:v>
      </x:c>
      <x:c r="E66" s="8" t="n">
        <x:v>19.80602363420192</x:v>
      </x:c>
      <x:c r="F66" s="8" t="n">
        <x:v>16.604269374184643</x:v>
      </x:c>
      <x:c r="G66" s="8" t="n">
        <x:v>11.774343037247172</x:v>
      </x:c>
      <x:c r="H66" s="8" t="n">
        <x:v>-9.665780656730115</x:v>
      </x:c>
      <x:c r="I66" s="8" t="n">
        <x:v>-2.890287908455058</x:v>
      </x:c>
      <x:c r="J66" s="8" t="n">
        <x:v>9.072696072404154</x:v>
      </x:c>
      <x:c r="K66" s="8" t="n">
        <x:v>26.097411235035306</x:v>
      </x:c>
      <x:c r="L66" s="8" t="n">
        <x:v>80182294.53013404</x:v>
      </x:c>
      <x:c r="M66" s="8" t="n">
        <x:v>7.907346890000412</x:v>
      </x:c>
      <x:c r="N66" s="8" t="n">
        <x:v>89507233.22796686</x:v>
      </x:c>
      <x:c r="O66" s="8" t="n">
        <x:v>17.30451295861638</x:v>
      </x:c>
      <x:c r="P66" s="8" t="n">
        <x:v>26.666666666666668</x:v>
      </x:c>
      <x:c r="Q66" s="3" t="n">
        <x:v>1.3833333333333335</x:v>
      </x:c>
      <x:c r="R66" s="3" t="n">
        <x:v>11.19139008611838</x:v>
      </x:c>
      <x:c r="S66" s="3" t="n">
        <x:v>55.1</x:v>
      </x:c>
      <x:c r="T66" s="3" t="str">
        <x:v>2026Q1 available-month averages</x:v>
      </x:c>
    </x:row>
    <x:row r="67">
      <x:c r="A67" s="3" t="str">
        <x:v>2026Q2</x:v>
      </x:c>
      <x:c r="B67" s="8" t="n">
        <x:v>4.43</x:v>
      </x:c>
      <x:c r="C67" s="8" t="n">
        <x:v>3.8899999999999997</x:v>
      </x:c>
      <x:c r="D67" s="8" t="n">
        <x:v>4.2299999999999995</x:v>
      </x:c>
      <x:c r="E67" s="8" t="n">
        <x:v>18.537758073492732</x:v>
      </x:c>
      <x:c r="F67" s="8" t="n">
        <x:v>16.201379998672014</x:v>
      </x:c>
      <x:c r="G67" s="8" t="n">
        <x:v>16.846977518292146</x:v>
      </x:c>
      <x:c r="H67" s="8" t="n">
        <x:v>-13.29837130201078</x:v>
      </x:c>
      <x:c r="I67" s="8" t="n">
        <x:v>-2.8627698043427685</x:v>
      </x:c>
      <x:c r="J67" s="8" t="n">
        <x:v>58.35142937398775</x:v>
      </x:c>
      <x:c r="K67" s="8" t="n">
        <x:v>33.054732827524646</x:v>
      </x:c>
      <x:c r="L67" s="8" t="n">
        <x:v>84876283.87566994</x:v>
      </x:c>
      <x:c r="M67" s="8" t="n">
        <x:v>8.711164652728053</x:v>
      </x:c>
      <x:c r="N67" s="8" t="n">
        <x:v>81681150.207237</x:v>
      </x:c>
      <x:c r="O67" s="8" t="n">
        <x:v>5.5801161103423995</x:v>
      </x:c>
      <x:c r="P67" s="8" t="n">
        <x:v>26.5</x:v>
      </x:c>
      <x:c r="Q67" s="3" t="n">
        <x:v>1.5266666666666666</x:v>
      </x:c>
      <x:c r="R67" s="3" t="n">
        <x:v>12.584870864398233</x:v>
      </x:c>
      <x:c r="S67" s="3" t="n">
        <x:v>49.699999999999996</x:v>
      </x:c>
      <x:c r="T67" s="3" t="str">
        <x:v>2026Q2 available-month averages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64" hidden="0" customWidth="1"/>
  </x:cols>
  <x:sheetData>
    <x:row r="1" ht="34" customHeight="1">
      <x:c r="A1" s="12" t="str">
        <x:v>Methodology and Refresh Logic</x:v>
      </x:c>
      <x:c r="B1" s="12"/>
      <x:c r="C1" s="12"/>
    </x:row>
    <x:row r="2" ht="28" customHeight="1">
      <x:c r="A2" s="16" t="str">
        <x:v>Nigeria-only extraction adapted from the CAPE-ERC-AFDB bridge-model framework.</x:v>
      </x:c>
      <x:c r="B2" s="16"/>
      <x:c r="C2" s="16"/>
    </x:row>
    <x:row r="3" ht="28" customHeight="1">
      <x:c r="A3" s="6" t="str">
        <x:v>Item</x:v>
      </x:c>
      <x:c r="B3" s="6" t="str">
        <x:v>Implementation</x:v>
      </x:c>
      <x:c r="C3" s="6" t="str">
        <x:v>Rationale / audit note</x:v>
      </x:c>
    </x:row>
    <x:row r="4" ht="46" customHeight="1">
      <x:c r="A4" s="38" t="str">
        <x:v>Target</x:v>
      </x:c>
      <x:c r="B4" s="38" t="str">
        <x:v>2026Q3 real GDP growth, year-on-year (%)</x:v>
      </x:c>
      <x:c r="C4" s="38" t="str">
        <x:v>The next quarter after the latest official observation in the master workbook.</x:v>
      </x:c>
    </x:row>
    <x:row r="5" ht="46" customHeight="1">
      <x:c r="A5" s="38" t="str">
        <x:v>Current vintage</x:v>
      </x:c>
      <x:c r="B5" s="38" t="str">
        <x:v>Monthly indicators: 2026Q3 available-month averages; PMI available: 2 of 3 months</x:v>
      </x:c>
      <x:c r="C5" s="38" t="str">
        <x:v>Each monthly indicator uses every observation currently available in the target quarter.</x:v>
      </x:c>
    </x:row>
    <x:row r="6" ht="46" customHeight="1">
      <x:c r="A6" s="38" t="str">
        <x:v>Model specification</x:v>
      </x:c>
      <x:c r="B6" s="38" t="str">
        <x:v>gdp_lag1, headline_yoy, cpd, pmi, m2_mom</x:v>
      </x:c>
      <x:c r="C6" s="38" t="str">
        <x:v>The displayed specification is generated directly from the active feature list in analyze_nowcast.py.</x:v>
      </x:c>
    </x:row>
    <x:row r="7" ht="46" customHeight="1">
      <x:c r="A7" s="38" t="str">
        <x:v>Selection rule</x:v>
      </x:c>
      <x:c r="B7" s="38" t="str">
        <x:v>Lowest expanding-window RMSE from 2018Q1: Ridge GDP-CPD-M2-inflation-PMI-risk bridge, alpha 2</x:v>
      </x:c>
      <x:c r="C7" s="38" t="str">
        <x:v>RMSE 1.95 pp; MAE 1.22 pp across 34 quarters.</x:v>
      </x:c>
    </x:row>
    <x:row r="8" ht="46" customHeight="1">
      <x:c r="A8" s="38" t="str">
        <x:v>Selected variables</x:v>
      </x:c>
      <x:c r="B8" s="38" t="str">
        <x:v>5 jointly estimated predictors</x:v>
      </x:c>
      <x:c r="C8" s="38" t="str">
        <x:v>Equation variables: gdp_lag1, headline_yoy, cpd, pmi, m2_mom.</x:v>
      </x:c>
    </x:row>
    <x:row r="9" ht="46" customHeight="1">
      <x:c r="A9" s="38" t="str">
        <x:v>Monthly treatment</x:v>
      </x:c>
      <x:c r="B9" s="38" t="str">
        <x:v>Available-month inputs are used for the active monthly predictors; current PMI average 51.9 from 2 of 3 months</x:v>
      </x:c>
      <x:c r="C9" s="38" t="str">
        <x:v>The target quarter uses one, two or three monthly observations as available and automatically incorporates the final month. Completed historical quarters use all three.</x:v>
      </x:c>
    </x:row>
    <x:row r="10" ht="46" customHeight="1">
      <x:c r="A10" s="38" t="str">
        <x:v>Current monitoring estimate</x:v>
      </x:c>
      <x:c r="B10" s="38" t="str">
        <x:v>4.24% for 2026Q3</x:v>
      </x:c>
      <x:c r="C10" s="38" t="str">
        <x:v>Generated by the statistical model.</x:v>
      </x:c>
    </x:row>
    <x:row r="11" ht="46" customHeight="1">
      <x:c r="A11" s="38" t="str">
        <x:v>Publication rule</x:v>
      </x:c>
      <x:c r="B11" s="38" t="str">
        <x:v>1 of 3 target-quarter months complete; current release: Indicative range</x:v>
      </x:c>
      <x:c r="C11" s="38" t="str">
        <x:v>A point forecast is published only when Headline inflation, M2, Crude oil production (CPD), PMI, Inflation risk are present for all three months. Until then, publish 4.34-4.50%.</x:v>
      </x:c>
    </x:row>
    <x:row r="12" ht="46" customHeight="1">
      <x:c r="A12" s="38" t="str">
        <x:v>Internal uncertainty</x:v>
      </x:c>
      <x:c r="B12" s="38" t="str">
        <x:v>Empirical 80% model-error interval retained in the engine</x:v>
      </x:c>
      <x:c r="C12" s="38" t="str">
        <x:v>The 80% figure describes interval coverage. It is not the PMI weight and is not the public range.</x:v>
      </x:c>
    </x:row>
    <x:row r="13" ht="46" customHeight="1">
      <x:c r="A13" s="38" t="str">
        <x:v>Refresh</x:v>
      </x:c>
      <x:c r="B13" s="38" t="str">
        <x:v>Update MultipleFrequencyModelData.xlsx, then run Refresh Nigeria GDP Nowcast.ps1</x:v>
      </x:c>
      <x:c r="C13" s="38" t="str">
        <x:v>The script re-reads Headline inflation, M2, Crude oil production (CPD), PMI, Inflation risk and official quarterly GDP without modifying the master workbook.</x:v>
      </x:c>
    </x:row>
    <x:row r="14" ht="46" customHeight="1">
      <x:c r="A14" s="38" t="str">
        <x:v>Master workbook fields</x:v>
      </x:c>
      <x:c r="B14" s="38" t="str">
        <x:v>PMI is read from column K and inflation risk from column L; official GDP is read from Quarterly Data</x:v>
      </x:c>
      <x:c r="C14" s="38" t="str">
        <x:v>The master workbook is read-only during refresh. Generated outputs are written only to the Nigeria GDP Nowcasting folder.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90" hidden="0" customWidth="1"/>
    <x:col min="3" max="3" width="60" hidden="0" customWidth="1"/>
  </x:cols>
  <x:sheetData>
    <x:row r="1" ht="34" customHeight="1">
      <x:c r="A1" s="12" t="str">
        <x:v>Sources and Provenance</x:v>
      </x:c>
      <x:c r="B1" s="12"/>
      <x:c r="C1" s="12"/>
    </x:row>
    <x:row r="2" ht="28" customHeight="1">
      <x:c r="A2" s="16" t="str">
        <x:v>Paths and web references used for this nowcast.</x:v>
      </x:c>
      <x:c r="B2" s="16"/>
      <x:c r="C2" s="16"/>
    </x:row>
    <x:row r="3" ht="28" customHeight="1">
      <x:c r="A3" s="6" t="str">
        <x:v>Source</x:v>
      </x:c>
      <x:c r="B3" s="6" t="str">
        <x:v>Location</x:v>
      </x:c>
      <x:c r="C3" s="6" t="str">
        <x:v>Use</x:v>
      </x:c>
    </x:row>
    <x:row r="4" ht="40" customHeight="1">
      <x:c r="A4" s="38" t="str">
        <x:v>CAPE master macro workbook</x:v>
      </x:c>
      <x:c r="B4" s="38" t="str">
        <x:v>C:\Users\eakan\Documents\CAPE-ERC\CAPE Inflation Forecasting Model\Main Data\MultipleFrequencyModelData.xlsx</x:v>
      </x:c>
      <x:c r="C4" s="38" t="str">
        <x:v>Monthly headline CPI and M2 levels used to calculate monthly year-on-year rates, monthly crude oil production, monthly PMI and official quarterly GDP.</x:v>
      </x:c>
    </x:row>
    <x:row r="5" ht="40" customHeight="1">
      <x:c r="A5" s="38" t="str">
        <x:v>CAPE-ERC-AFDB nowcasting system</x:v>
      </x:c>
      <x:c r="B5" s="38" t="str">
        <x:v>C:\Users\eakan\Documents\CAPE-ERC-AFDB\quarterly_nowcast_system.py</x:v>
      </x:c>
      <x:c r="C5" s="38" t="str">
        <x:v>Model architecture adapted to a Nigeria-only quarterly growth target.</x:v>
      </x:c>
    </x:row>
    <x:row r="6" ht="40" customHeight="1">
      <x:c r="A6" s="38" t="str">
        <x:v>Generated</x:v>
      </x:c>
      <x:c r="B6" s="38" t="n">
        <x:v>46281.97658515046</x:v>
      </x:c>
      <x:c r="C6" s="38" t="str">
        <x:v>Workbook creation timestamp (UTC).</x:v>
      </x:c>
    </x:row>
  </x:sheetData>
  <x:mergeCells>
    <x:mergeCell ref="A1:C1"/>
    <x:mergeCell ref="A2:C2"/>
  </x:mergeCells>
  <x:pageMargins left="0.7" right="0.7" top="0.75" bottom="0.75" header="0.3" footer="0.3"/>
</x:worksheet>
</file>